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juan/Downloads/"/>
    </mc:Choice>
  </mc:AlternateContent>
  <xr:revisionPtr revIDLastSave="0" documentId="13_ncr:1_{5176EC5B-024F-E247-AC22-26DA7F07D151}" xr6:coauthVersionLast="47" xr6:coauthVersionMax="47" xr10:uidLastSave="{00000000-0000-0000-0000-000000000000}"/>
  <bookViews>
    <workbookView xWindow="0" yWindow="660" windowWidth="29400" windowHeight="18460" tabRatio="500" activeTab="1" xr2:uid="{00000000-000D-0000-FFFF-FFFF00000000}"/>
  </bookViews>
  <sheets>
    <sheet name="Instrucciones" sheetId="1" r:id="rId1"/>
    <sheet name="Calificar" sheetId="2" r:id="rId2"/>
    <sheet name="Referencia"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7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1" authorId="0" shapeId="0" xr:uid="{00000000-0006-0000-0100-000001000000}">
      <text>
        <r>
          <rPr>
            <sz val="10"/>
            <rFont val="Arial"/>
            <family val="2"/>
          </rPr>
          <t>0 ausente · 1 falla generalizada · 2 excepciones aisladas · 3 se cumple en todo lo observable · 4 = 3 mas la condicion extra que nombra la rubrica · NA solo con la condicion objetiva.</t>
        </r>
      </text>
    </comment>
  </commentList>
</comments>
</file>

<file path=xl/sharedStrings.xml><?xml version="1.0" encoding="utf-8"?>
<sst xmlns="http://schemas.openxmlformats.org/spreadsheetml/2006/main" count="864" uniqueCount="231">
  <si>
    <t>CASOS DORADOS · Juan Francisco Rodriguez</t>
  </si>
  <si>
    <t>Trabajo de grado · Evaluacion automatizada de UX · Uniandes 2026-20</t>
  </si>
  <si>
    <t>Que es esto</t>
  </si>
  <si>
    <t>Diez paginas, siete grupos de constructo, setenta filas. Tu escribes que nivel de 0 a 4 crees que merece cada pagina en cada grupo, segun la rubrica. Lo escribes ANTES de que el sistema puntue.</t>
  </si>
  <si>
    <t>Para que sirve</t>
  </si>
  <si>
    <t>Cuando corramos las skills comparamos lo que saco el sistema contra lo que pusimos nosotros. Si el sistema se aleja, sabemos que la falla esta en la skill y no en la pagina. La validacion de verdad es contra evaluadores externos, y eso depende del comite de etica, que radicamos el 2 de septiembre y todavia no responde. Mientras tanto, esto es lo unico con que comparar.</t>
  </si>
  <si>
    <t>Las cuatro reglas</t>
  </si>
  <si>
    <t>1.  No abras el archivo de otro hasta que los tres esten completos. El desacuerdo inicial es el dato; si alguien mira primero, se pierde y no se recupera.</t>
  </si>
  <si>
    <t>2.  No abras la pagina en vivo. Ya cambio. Puntua el PNG que esta en la carpeta, que es exactamente lo que el sistema va a ver. El link de la hoja «Calificar» esta solo para que sepas de que sitio se trata.</t>
  </si>
  <si>
    <t>3.  Mira el archivo que dice la columna «Que mirar»: wireframe.png para seis grupos, screenshot.png para G4. Es el mismo canal que ve la skill, y por eso un desacuerdo se puede interpretar.</t>
  </si>
  <si>
    <t>4.  Puedes abrir measurements.json de la misma carpeta si quieres. Si lo haces, anotalo en la justificacion: el sistema siempre lo ve, asi que es una diferencia de condiciones que hay que dejar escrita.</t>
  </si>
  <si>
    <t>Que llenas</t>
  </si>
  <si>
    <t>Solo las tres columnas amarillas de la hoja «Calificar»:</t>
  </si>
  <si>
    <t xml:space="preserve">     • nivel_esperado  ·  0, 1, 2, 3, 4  o  NA  (hay lista desplegable)</t>
  </si>
  <si>
    <t xml:space="preserve">     • trigger_esperado  ·  el identificador que fijo el nivel. Los validos de cada grupo estan en su misma fila y en la hoja «Referencia».</t>
  </si>
  <si>
    <t xml:space="preserve">     • justificacion  ·  una o dos frases: que viste que te hizo poner ese nivel.</t>
  </si>
  <si>
    <t>Lo mas importante</t>
  </si>
  <si>
    <t>No trates de adivinar que va a responder el sistema. Queremos que nivel crees TU que merece la pagina segun la rubrica. Si te parece que la rubrica esta mal escrita, o que no se puede decidir con lo que se ve, escribelo en la justificacion en vez de forzar un numero. Eso tambien es un resultado del trabajo, y de hecho es uno de los que buscamos.</t>
  </si>
  <si>
    <t>Donde estan las capturas</t>
  </si>
  <si>
    <t>En el repositorio:  git clone https://github.com/uniandes-ux-laws/ux-laws-plugin.git</t>
  </si>
  <si>
    <t>Cada pagina tiene su carpeta en  dorados/&lt;id&gt;/  con screenshot.png, wireframe.png y measurements.json. Las rubricas completas estan en  skills/&lt;grupo&gt;/SKILL.md  y en  docs/apendice-rubricas.docx.</t>
  </si>
  <si>
    <t>Cuando termines</t>
  </si>
  <si>
    <t>Guarda este archivo y mandaselo a David. El lo convierte a esperados-juanfrancisco.csv y corre el analisis de acuerdo. Fecha limite: miercoles 17 de septiembre.</t>
  </si>
  <si>
    <t>Dudas de una rubrica: preguntale a David ANTES de llenar, no despues.</t>
  </si>
  <si>
    <t>pagina</t>
  </si>
  <si>
    <t>sitio</t>
  </si>
  <si>
    <t>url (solo referencia)</t>
  </si>
  <si>
    <t>grupo</t>
  </si>
  <si>
    <t>constructo</t>
  </si>
  <si>
    <t>canal</t>
  </si>
  <si>
    <t>Que mirar</t>
  </si>
  <si>
    <t>nivel_esperado</t>
  </si>
  <si>
    <t>trigger_esperado</t>
  </si>
  <si>
    <t>justificacion</t>
  </si>
  <si>
    <t>triggers validos</t>
  </si>
  <si>
    <t>Cuando es NA</t>
  </si>
  <si>
    <t>U03</t>
  </si>
  <si>
    <t>Ministerio de Justicia</t>
  </si>
  <si>
    <t>https://www.minjusticia.gov.co/</t>
  </si>
  <si>
    <t>G1</t>
  </si>
  <si>
    <t>Agrupacion perceptual</t>
  </si>
  <si>
    <t>wireframe</t>
  </si>
  <si>
    <t>dorados/U03/wireframe.png</t>
  </si>
  <si>
    <t>C1 · C2 · C3 · C4 · conflicto · ninguna</t>
  </si>
  <si>
    <t>Menos de dos grupos de primer nivel en la pantalla</t>
  </si>
  <si>
    <t>G2</t>
  </si>
  <si>
    <t>Arquitectura de decision</t>
  </si>
  <si>
    <t>n1 · agrupacion · dominancia · Ap · ninguna</t>
  </si>
  <si>
    <t>No hay ningun elemento accionable (n_total = 0)</t>
  </si>
  <si>
    <t>G3</t>
  </si>
  <si>
    <t>Capacidad y segmentacion</t>
  </si>
  <si>
    <t>U · segmentacion · B · H · V · X · carga_extrinseca_estructural · ninguna</t>
  </si>
  <si>
    <t>La region de la tarea tiene menos de dos unidades</t>
  </si>
  <si>
    <t>G4</t>
  </si>
  <si>
    <t>Saliencia visual</t>
  </si>
  <si>
    <t>screenshot</t>
  </si>
  <si>
    <t>dorados/U03/screenshot.png</t>
  </si>
  <si>
    <t>Bn · I · P · Cn · ninguna</t>
  </si>
  <si>
    <t>No hay ningun conjunto de dos o mas elementos presentados como equivalentes</t>
  </si>
  <si>
    <t>G5</t>
  </si>
  <si>
    <t>Posicion y progreso</t>
  </si>
  <si>
    <t>G_existe · G_nombra · G_actual · G_forma · J_inicio · lista_plana · ninguna</t>
  </si>
  <si>
    <t>No hay proceso por pasos NI lista de tres o mas hermanos en secuencia</t>
  </si>
  <si>
    <t>G6</t>
  </si>
  <si>
    <t>Economia y convencion</t>
  </si>
  <si>
    <t>R · T · K · ninguna</t>
  </si>
  <si>
    <t>Ninguna de las ocho convenciones aplica y no hay formulario ni campos de resultado</t>
  </si>
  <si>
    <t>G7</t>
  </si>
  <si>
    <t>Targeting motor</t>
  </si>
  <si>
    <t>W_min · holgura · S_min · consistencia · ninguna</t>
  </si>
  <si>
    <t>No hay ningun elemento interactivo (N_obj = 0)</t>
  </si>
  <si>
    <t>U04</t>
  </si>
  <si>
    <t>Ministerio de Ambiente</t>
  </si>
  <si>
    <t>https://www.minambiente.gov.co/</t>
  </si>
  <si>
    <t>dorados/U04/wireframe.png</t>
  </si>
  <si>
    <t>dorados/U04/screenshot.png</t>
  </si>
  <si>
    <t>U33</t>
  </si>
  <si>
    <t>Banco Caja Social</t>
  </si>
  <si>
    <t>https://www.bancocajasocial.com/</t>
  </si>
  <si>
    <t>dorados/U33/wireframe.png</t>
  </si>
  <si>
    <t>dorados/U33/screenshot.png</t>
  </si>
  <si>
    <t>U43</t>
  </si>
  <si>
    <t>Blu Radio</t>
  </si>
  <si>
    <t>https://www.bluradio.com/</t>
  </si>
  <si>
    <t>dorados/U43/wireframe.png</t>
  </si>
  <si>
    <t>dorados/U43/screenshot.png</t>
  </si>
  <si>
    <t>U44</t>
  </si>
  <si>
    <t>Senal Colombia</t>
  </si>
  <si>
    <t>https://www.senalcolombia.tv/</t>
  </si>
  <si>
    <t>dorados/U44/wireframe.png</t>
  </si>
  <si>
    <t>dorados/U44/screenshot.png</t>
  </si>
  <si>
    <t>U47</t>
  </si>
  <si>
    <t>Museo Nacional</t>
  </si>
  <si>
    <t>https://www.museonacional.gov.co/</t>
  </si>
  <si>
    <t>dorados/U47/wireframe.png</t>
  </si>
  <si>
    <t>dorados/U47/screenshot.png</t>
  </si>
  <si>
    <t>U48</t>
  </si>
  <si>
    <t>Biblioteca Luis Angel Arango</t>
  </si>
  <si>
    <t>https://www.banrepcultural.org/</t>
  </si>
  <si>
    <t>dorados/U48/wireframe.png</t>
  </si>
  <si>
    <t>dorados/U48/screenshot.png</t>
  </si>
  <si>
    <t>U58</t>
  </si>
  <si>
    <t>Cruz Verde · checkout</t>
  </si>
  <si>
    <t>https://www.cruzverde.com.co/checkout</t>
  </si>
  <si>
    <t>dorados/U58/wireframe.png</t>
  </si>
  <si>
    <t>dorados/U58/screenshot.png</t>
  </si>
  <si>
    <t>U60</t>
  </si>
  <si>
    <t>Camara de Comercio de Bogota · renovaciones</t>
  </si>
  <si>
    <t>https://www.ccb.org.co/tramites-y-consultas/renovaciones</t>
  </si>
  <si>
    <t>dorados/U60/wireframe.png</t>
  </si>
  <si>
    <t>dorados/U60/screenshot.png</t>
  </si>
  <si>
    <t>U63</t>
  </si>
  <si>
    <t>Homecenter · carrito</t>
  </si>
  <si>
    <t>https://www.homecenter.com.co/homecenter-co/cart</t>
  </si>
  <si>
    <t>dorados/U63/wireframe.png</t>
  </si>
  <si>
    <t>dorados/U63/screenshot.png</t>
  </si>
  <si>
    <t>Filas completas:</t>
  </si>
  <si>
    <t>La escala 0-4, igual para los siete grupos</t>
  </si>
  <si>
    <t>Nivel</t>
  </si>
  <si>
    <t>Que significa</t>
  </si>
  <si>
    <t>0</t>
  </si>
  <si>
    <t>La propiedad que el grupo mide esta ausente o contradicha. La pantalla falla en el constructo.</t>
  </si>
  <si>
    <t>1</t>
  </si>
  <si>
    <t>La propiedad existe pero falla de forma generalizada.</t>
  </si>
  <si>
    <t>2</t>
  </si>
  <si>
    <t>La propiedad se cumple con excepciones aisladas.</t>
  </si>
  <si>
    <t>3</t>
  </si>
  <si>
    <t>La propiedad se cumple en todo lo observable. Es el nivel de una interfaz bien hecha.</t>
  </si>
  <si>
    <t>4</t>
  </si>
  <si>
    <t>Nivel 3, y ademas la pantalla hace algo activo por encima del cumplimiento. NO es «muy bueno»: cada rubrica nombra exactamente que condicion adicional lo separa del 3.</t>
  </si>
  <si>
    <t>NA</t>
  </si>
  <si>
    <t>La rubrica declara que el constructo no tiene objeto en esta pantalla. Solo con la condicion objetiva de la columna «Cuando es NA». Escribe cual en la justificacion.</t>
  </si>
  <si>
    <t>Los siete grupos</t>
  </si>
  <si>
    <t>Grupo</t>
  </si>
  <si>
    <t>Constructo</t>
  </si>
  <si>
    <t>Leyes que subsume</t>
  </si>
  <si>
    <t>Triggers validos</t>
  </si>
  <si>
    <t>Proximidad · Pragnanz · Region comun · Similitud</t>
  </si>
  <si>
    <t>Ley de Hick · Sobrecarga de eleccion</t>
  </si>
  <si>
    <t>Miller · Chunking · Memoria de trabajo · Carga cognitiva</t>
  </si>
  <si>
    <t>Von Restorff · Atencion selectiva</t>
  </si>
  <si>
    <t>Posicion serial · Gradiente de meta</t>
  </si>
  <si>
    <t>Navaja de Occam · Ley de Tesler · Ley de Jakob</t>
  </si>
  <si>
    <t>Ley de Fitts</t>
  </si>
  <si>
    <t>El nivel 4 no es un premio. Cada rubrica declara exactamente que condicion observable lo separa del 3. Si esa condicion no esta presente, el puntaje es 3 por bien resuelta que este la pantalla.</t>
  </si>
  <si>
    <t>C1</t>
  </si>
  <si>
    <t>dominancia</t>
  </si>
  <si>
    <t>segmentacion</t>
  </si>
  <si>
    <t>I</t>
  </si>
  <si>
    <t>lista_plana</t>
  </si>
  <si>
    <t>ninguna</t>
  </si>
  <si>
    <t>S_min</t>
  </si>
  <si>
    <t>C4</t>
  </si>
  <si>
    <t>J_inicio</t>
  </si>
  <si>
    <t>W_min</t>
  </si>
  <si>
    <t>Bn</t>
  </si>
  <si>
    <t>C3</t>
  </si>
  <si>
    <t>K</t>
  </si>
  <si>
    <t>holgura</t>
  </si>
  <si>
    <t>C2</t>
  </si>
  <si>
    <t>G_nombra</t>
  </si>
  <si>
    <t>Tomo la navegación como conjunto principal de opciones: Inicio es el único ítem marcado con una línea verde y corresponde a la sección mostrada. Espero nivel 3 porque la selección es reconocible, sin evidencia suficiente de un segundo énfasis independiente para subir a 4; interpreto la cabecera convencional como navegación, no como publicidad.</t>
  </si>
  <si>
    <t>La franja superior muestra información funcional sobre medidas extraordinarias como un banner de gran anchura, mientras las seis tarjetas principales de servicios no distinguen un elemento prioritario. La combinación Bn presente e I=0 corresponde a nivel 0; recomiendo presentar el aviso como información de servicio diferenciada y aclarar la jerarquía de los accesos.</t>
  </si>
  <si>
    <t>En la decisión visible del aviso de cookies, aceptar tiene relleno azul y la alternativa un tratamiento menos destacado, por lo que existe un aislado coherente con la acción declarada. No identifico contenido de esa decisión camuflado como publicidad o cromo, y el énfasis observado depende principalmente del color y relleno.</t>
  </si>
  <si>
    <t>En el conjunto principal de noticias, la pieza de la izquierda se distingue de las dos piezas menores por área y tamaño del titular, estableciendo una jerarquía editorial coherente. El énfasis se sostiene por más de un canal visual y no se observa contenido de ese conjunto tratado como publicidad o cromo.</t>
  </si>
  <si>
    <t>En el aviso de cookies, Aceptar y continuar aparece como botón amarillo delimitado frente a No aceptar y continuar como texto sin caja. La acción promovida queda aislada por color y contorno, sin contenido de esa decisión tratado como publicidad o cromo.</t>
  </si>
  <si>
    <t>En el aviso de cookies, Permitir todas tiene relleno rojo y Personalizar conserva fondo blanco y borde rojo, haciendo más prominente la primera acción. El aislado coincide con la acción promovida por el aviso y el énfasis depende principalmente del relleno, sin contenido de esa decisión camuflado como publicidad o cromo.</t>
  </si>
  <si>
    <t>En el panel Carro de compras vacío, Inicia sesión tiene relleno azul y se distingue de Ir al home con fondo blanco, en coherencia con la invitación a recuperar productos guardados. El énfasis depende principalmente del relleno y no se observa contenido de esa decisión camuflado como publicidad o cromo.</t>
  </si>
  <si>
    <t>La cabecera queda muy próxima al bloque central, mientras la fila de indicadores y las dos tarjetas inferiores mantienen alineación y contornos consistentes. Estimo una excepción localizada de separación y recomiendo ampliar el espacio entre cabecera y contenido; es un juicio visual, no una certificación de la razón 1,5.</t>
  </si>
  <si>
    <t>El bloque central domina por superficie, pero no conserva una acción primaria distinguible: solo quedan controles laterales y una fila de selectores equivalentes. Para orientar la elección, el wireframe debería conservar un botón principal diferenciado dentro de ese bloque.</t>
  </si>
  <si>
    <t>La secuencia horizontal de pequeños rectángulos bajo el bloque central no distingue estructuralmente el inicio o el final y no se observa un proceso por pasos. Corresponde a lista plana en lo visible; convendría distinguir el elemento inicial por forma o separación.</t>
  </si>
  <si>
    <t>La estructura reconocible sitúa la marca a la izquierda y el campo de búsqueda arriba a la derecha, sin formularios ni operaciones manuales visibles. Espero nivel 3 por las convenciones observables, sin atribuir funcionamiento a enlaces ni presuponer textos que la abstracción oculta.</t>
  </si>
  <si>
    <t>La cabecera, el bloque central y las columnas inferiores se distinguen con claridad, pero la navegación combina ítems de una y dos líneas con alturas y anchos desiguales. Estimo una inconsistencia localizada en esa familia y recomiendo uniformar sus cajas manteniendo la separación entre secciones.</t>
  </si>
  <si>
    <t>La navegación y los controles del bloque central ofrecen elecciones, pero ninguna acción principal del contenido sobrevive con una forma o tamaño dominante. Recomiendo conservar un control principal en el bloque central; el tamaño de la imagen por sí solo no establece una acción.</t>
  </si>
  <si>
    <t>El primer elemento de la navegación horizontal tiene un contorno que lo distingue de las barras siguientes, sin un indicador de pasos reconocible. El inicio queda diferenciado estructuralmente y no se observa una distinción adicional del extremo final.</t>
  </si>
  <si>
    <t>La marca aparece arriba a la izquierda, la búsqueda a la derecha y el menú se distribuye horizontalmente antes del contenido. No observo una ruptura estructural de las convenciones ni trabajo manual trasladado al usuario, por lo que espero nivel 3 sin suponer comportamientos invisibles.</t>
  </si>
  <si>
    <t>Las seis tarjetas inferiores repiten tamaño y alineación, pero las franjas de cabecera quedan muy juntas frente al espaciamiento del resto de la pantalla. Estimo un problema localizado de separación y recomiendo diferenciar mejor las bandas superiores sin cambiar la cuadrícula de servicios.</t>
  </si>
  <si>
    <t>Distingo aproximadamente ocho grupos de elección entre las bandas superiores, los accesos de cabecera, el bloque central, las tarjetas y los controles inferiores. El botón del bloque central es reconocible pero compite con los accesos superiores; recomiendo reforzar su jerarquía y simplificar la cabecera.</t>
  </si>
  <si>
    <t>En la región central hay un encabezado, un bloque de apoyo, un botón y una imagen agrupados como una sola pieza, sin superar cinco unidades visibles. La fila de tarjetas pertenece a una sección inferior separada y no hay una dependencia de datos fuera de vista observable en la región evaluada.</t>
  </si>
  <si>
    <t>La fila principal de seis tarjetas mantiene sus extremos sin diferenciación, mientras un pequeño selector del carrusel sí presenta un contorno distinto. La jerarquía visible queda en una secuencia secundaria; convendría distinguir el inicio de la lista principal.</t>
  </si>
  <si>
    <t>La marca queda a la izquierda, la navegación se mantiene arriba y el campo o icono de búsqueda y los accesos están en la zona derecha. No observo formularios redundantes ni cálculos exigidos al usuario; espero nivel 3 dentro de lo que conserva el wireframe.</t>
  </si>
  <si>
    <t>La captura combina numerosos ejes y anchos en cabecera, columnas y bloques inferiores, y la franja superpuesta dificulta separar los límites de estas últimas regiones. Estimo fallos simultáneos de regularidad y separación; recomiendo alinear los bloques principales y dar a la franja inferior una región que no se confunda con ellos.</t>
  </si>
  <si>
    <t>La decisión en primer plano presenta dos botones de tamaño y tratamiento estructural equivalentes, sin una acción primaria reconocible en el wireframe. Recomiendo distinguir su jerarquía por forma o tamaño y mantener la alternativa identificable.</t>
  </si>
  <si>
    <t>La pieza central visible reúne un encabezado y un bloque gráfico, separada de la columna derecha y de la franja inferior. Espero nivel 3 por su baja cantidad de unidades y segmentación observable, sin interpretar la superposición inferior como pérdida de un dato requerido que la imagen no demuestra.</t>
  </si>
  <si>
    <t>La secuencia horizontal de navegación conserva barras equivalentes separadas por divisores, sin un inicio o final jerarquizado ni un proceso por pasos visible. Recomiendo diferenciar estructuralmente el primer elemento relevante de la secuencia.</t>
  </si>
  <si>
    <t>El bloque identificador de la cabecera se encuentra centrado, mientras la navegación sigue una disposición horizontal convencional. Frente al catálogo web de 10/09/2026, estimo una excepción de K1 y recomiendo situar la marca arriba a la izquierda; no infiero el destino de su enlace.</t>
  </si>
  <si>
    <t>La composición principal mantiene límites claros entre una pieza grande y dos menores apiladas, y las filas inferiores conservan alineaciones repetidas. Espero nivel 3 por la agrupación visual estable; considero la diferencia de la pieza principal una jerarquía deliberada y no una inconsistencia entre equivalentes.</t>
  </si>
  <si>
    <t>La pieza principal de la izquierda domina con claridad sobre las dos alternativas menores, y las opciones restantes quedan organizadas en bandas y filas separadas. Estimo no más de cinco agrupaciones principales y una elección de contenido reconocible, sin evidencia de ayudas adicionales para asignar 4.</t>
  </si>
  <si>
    <t>La región principal contiene tres piezas delimitadas, cada una con su propio bloque de titular, y mantiene separada la fila inferior. Espero nivel 3 por la segmentación en pocos bloques y la ausencia de una dependencia de información fuera de vista que pueda observarse en esta captura.</t>
  </si>
  <si>
    <t>Dentro de la secuencia principal de tres piezas, la primera posición, a la izquierda, es claramente mayor que las dos siguientes apiladas a la derecha. Esa diferencia de tamaño sostiene J_inicio sin depender del color; no hay una distinción adicional del último elemento que justifique 4.</t>
  </si>
  <si>
    <t>El bloque de marca está arriba a la izquierda y la navegación se organiza horizontalmente sobre el contenido. No se observan campos repetidos ni operaciones manuales exigidas al usuario, así que espero nivel 3 para las convenciones reconocibles en este canal.</t>
  </si>
  <si>
    <t>La cabecera y el bloque central forman regiones claras, pero en la zona inferior hay barras de encabezado que cruzan los límites dibujados de las tarjetas. Estimo un problema localizado de límites en la representación y recomiendo mantener cada encabezado dentro de su bloque correspondiente.</t>
  </si>
  <si>
    <t>La navegación ofrece varias opciones del mismo peso y el gran bloque central no conserva un botón o enlace prioritario, únicamente selectores equivalentes. Recomiendo mantener una acción principal reconocible en esa región para que el tamaño del bloque no sea la única señal de importancia.</t>
  </si>
  <si>
    <t>La navegación presenta contornos equivalentes y la secuencia de indicadores bajo el bloque central tampoco diferencia estructuralmente sus extremos. Sin un proceso por pasos visible, la lista queda plana; convendría distinguir el inicio con forma o agrupación.</t>
  </si>
  <si>
    <t>El bloque de marca está arriba a la izquierda y la navegación principal es horizontal, con el contenido dispuesto debajo. Espero nivel 3 por las convenciones estructurales visibles, sin interpretar como incumplimiento un pie que simplemente no aparece en la captura.</t>
  </si>
  <si>
    <t>En esta representación, el bloque negro izquierdo invade la región central y los textos inferiores atraviesan contornos de otras regiones. Estimo fallos simultáneos de límites y separación; recomiendo revisar la conversión a wireframe para conservar los bloques dentro de sus regiones, sin atribuir estos cruces a la página original.</t>
  </si>
  <si>
    <t>Los dos controles de la franja inferior conservan cajas equivalentes, mientras el contenido central no presenta una acción estructuralmente dominante. Recomiendo que la acción principal siga siendo distinguible por forma o tamaño cuando se elimina el color.</t>
  </si>
  <si>
    <t>La región central conserva un bloque gráfico y dos bloques de texto agrupados, sin una lista extensa de unidades independientes. Espero nivel 3 por esa segmentación observable, sin considerar las barras negras por sí mismas evidencia de complejidad semántica o de una dependencia de datos oculta.</t>
  </si>
  <si>
    <t>La navegación principal presenta una secuencia plana, mientras la banda superior secundaria contiene un elemento enmarcado que sí rompe su patrón. La jerarquía queda en la lista secundaria; recomiendo diferenciar el inicio de la navegación principal mediante forma o separación.</t>
  </si>
  <si>
    <t>La cabecera ubica la marca a la izquierda, la búsqueda arriba a la derecha y la navegación en una banda horizontal. Espero nivel 3 por esas convenciones observables, sin inferir cuál de los dos controles inferiores es primario cuando el wireframe les da el mismo tratamiento.</t>
  </si>
  <si>
    <t>Las barras y el botón de la región derecha atraviesan el límite vertical dibujado de su columna, y la fila inferior continúa fuera del área visible. Estimo un fallo de límites extendido dentro de esa región; recomiendo corregir los contenedores de la representación antes de usarla para comparar agrupación.</t>
  </si>
  <si>
    <t>En el bloque derecho hay un único botón claramente separado del texto y de la fila de opciones inferiores. La elección principal es reconocible y las alternativas quedan agrupadas, por lo que espero nivel 3 sin inferir funciones o pasos que el wireframe no muestra.</t>
  </si>
  <si>
    <t>El contenido de la derecha se organiza en un bloque de mensaje con botón y una fila secundaria bajo un encabezado, con pocas unidades por bloque. Espero nivel 3 por esa segmentación visible; el recorte de la fila secundaria no demuestra por sí solo que falte un dato requerido para la acción principal.</t>
  </si>
  <si>
    <t>La única secuencia visible de tres o más elementos es la fila inferior de icono y texto, con el mismo patrón desde el inicio y sin un indicador de proceso. Espero nivel 0 por la lista plana; recomiendo diferenciar el inicio y asegurar que el extremo final quede visible.</t>
  </si>
  <si>
    <t>El bloque de marca se sitúa centrado en la cabecera, sin una razón funcional que pueda reconocerse en el wireframe. Estimo una excepción a K1 del catálogo web de 10/09/2026 y recomiendo ubicarlo arriba a la izquierda, sin inventar funciones de navegación que no son visibles.</t>
  </si>
  <si>
    <t>La lista lateral y el panel principal están alineados y delimitados, pero la franja superpuesta inferior se cruza con ambos y debilita su separación en esa zona. Estimo una excepción localizada y recomiendo reservar un área propia para el aviso o reducir su superposición.</t>
  </si>
  <si>
    <t>La decisión en primer plano presenta dos controles apilados de tamaño y contorno equivalentes, sin que el wireframe conserve cuál es el principal. Recomiendo mantener una diferencia estructural entre la acción prioritaria y la alternativa, además de la que pudiera existir por color.</t>
  </si>
  <si>
    <t>El panel principal presenta un encabezado y dos áreas de contenido, claramente separado de la lista lateral. Espero nivel 3 por su baja cantidad de bloques; la franja superpuesta no permite afirmar, por sí sola, que un dato necesario quede fuera de vista.</t>
  </si>
  <si>
    <t>La lista lateral conserva filas equivalentes desde la primera posición y no muestra una jerarquía de inicio ni un estado actual inequívoco en este canal. Recomiendo diferenciar la primera sección o la sección activa con forma o borde que sobreviva a la abstracción del color.</t>
  </si>
  <si>
    <t>La marca queda arriba a la izquierda, la navegación es horizontal y hay una secuencia de orientación inmediatamente debajo de la cabecera. Espero nivel 3 para las convenciones visibles, sin tratar los botones apilados como una pareja horizontal ni atribuirles una prioridad que el wireframe no conserva.</t>
  </si>
  <si>
    <t>El panel central, las cajas laterales y las tarjetas inferiores mantienen agrupaciones regulares, pero una caja superpuesta invade la banda de progreso. Estimo un problema localizado de separación y recomiendo desplazar ese elemento para conservar legible la agrupación de los pasos.</t>
  </si>
  <si>
    <t>El panel principal contiene dos botones del mismo tamaño y tratamiento, sin una acción dominante en el wireframe. Aunque las alternativas están agrupadas, la falta de jerarquía de la decisión fija nivel 0; recomiendo una diferencia de forma o tamaño entre esos controles.</t>
  </si>
  <si>
    <t>La región principal conserva un encabezado, un mensaje y dos botones dentro de un mismo bloque, separados de las cajas laterales y de la fila inferior. Espero nivel 3 por sus pocas unidades y segmentación, sin interpretar las tarjetas externas como carga dentro de esa región.</t>
  </si>
  <si>
    <t>La estructura sitúa la marca a la izquierda, un buscador arriba en el centro y accesos en el extremo derecho, manteniendo el patrón web convencional. Espero nivel 3 por las posiciones observables y la ausencia de operaciones manuales visibles, sin verificar destinos ni el contenido oculto de los controles.</t>
  </si>
  <si>
    <t>Asigno 2 porque se distinguen la región principal, sus controles y los bloques inferiores, pero la abstracción de la imagen impide reconocer la segmentación interna y sus encabezados. Uso el nivel de cumplimiento parcial como aproximación para la representación disponible, sin afirmar que se hayan medido U, H o V ni que el sitio original tenga ese defecto.</t>
  </si>
  <si>
    <t>Asigno 2 porque el bloque central se separa de la navegación y las columnas inferiores, aunque su contenido interno desaparece al convertirse en wireframe. Interpreto esa conservación parcial de la estructura como cumplimiento parcial, sin inventar el número de unidades ni dar por confirmada su coherencia temática.</t>
  </si>
  <si>
    <t>En las dos tarjetas inferiores no identifico un elemento aislado respecto de su par. Asigno 0 por ausencia de aislamiento en ese conjunto, como extensión interpretativa de la escala general, sin afirmar que exista Bn; convendría establecer una prioridad visual si la sección necesita promover una opción.</t>
  </si>
  <si>
    <t>Excluyo el documento raíz y los contenedores ancestros como objetivos independientes, y considero que el campo de 19,19 px cumple por holgura. Bajo ese supuesto, la separación de unos 5,02 px entre los objetivos 311 y 332 de cabecera fija nivel 1; recomiendo aumentarla al menos a 8 px.</t>
  </si>
  <si>
    <t>Trato el enlace de 1 × 1 px como artefacto de captura y excluyo raíces y contenedores ancestros del inventario de controles independientes. Permanecen tres enlaces de 19 px de alto sin colisión detectada entre sus círculos y otros controles, por lo que estimo nivel 1 por tres objetivos menores de 24 px y recomiendo ampliar sus áreas.</t>
  </si>
  <si>
    <t>Excluyo raíces y contenedores ancestros como controles independientes, evitando que generen colisiones artificiales de holgura. Hay cinco objetivos de menos de 24 px sin colisión con controles independientes, lo que corresponde a nivel 1 bajo ese supuesto; recomiendo ampliar los enlaces de cabecera de 21 px de alto.</t>
  </si>
  <si>
    <t>Excluyo el documento raíz como objetivo independiente y considero únicamente colisiones entre controles distintos. Los doce objetivos menores de 24 px, varios de 15 px en la banda superior, sostienen nivel 1 aun con holgura; recomiendo ampliar esas áreas interactivas.</t>
  </si>
  <si>
    <t>Asigno 2 por la separación visible entre cabecera, bloque central y contenido inferior, aunque el contenido gráfico principal pierde sus unidades y encabezados al abstraerse. Es una aproximación de cumplimiento parcial de la representación, sin deducir poca carga cognitiva del rectángulo vacío ni afirmar valores de U, B o H.</t>
  </si>
  <si>
    <t>Los ítems principales de navegación mantienen el mismo patrón de texto y subrayado, sin un aislado inequívoco. Asigno 0 por ausencia de aislamiento en ese conjunto como extensión de la escala general, sin afirmar Bn; recomiendo distinguir la opción prioritaria con una señal adicional al código de colores.</t>
  </si>
  <si>
    <t>Excluyo las raíces, el contenedor del carrusel de 11.880 px y su banda como objetivos independientes, conservando los ítems visibles de navegación. Sus nueve objetivos de 22 px de alto justifican nivel 1, suponiendo la holgura observada entre controles; recomiendo aumentar sus áreas a 24 px o más.</t>
  </si>
  <si>
    <t>Con geometría de nodes.json, el botón 511 de la esquina superior derecha mide 20 × 20 px y su círculo de 24 px intersecta el enlace 371 de la misma banda. La falta de holgura existe entre controles distintos sin depender de raíces clicables; recomiendo aumentar el objetivo y separarlo del enlace vecino.</t>
  </si>
  <si>
    <t>Con geometría de nodes.json, los botones 4233 y 4235 del extremo superior derecho del bloque central miden 25,19 × 19 px y sus cajas se superponen aproximadamente 1,19 px. No satisfacen la excepción de holgura para objetivos pequeños; recomiendo aumentar su altura y separar sus áreas interactivas.</t>
  </si>
  <si>
    <t>La geometría de nodes.json muestra dimensión mínima de 40 px y separaciones de 45 px entre las opciones inferiores; no hay objetivos por debajo de 24 px ni inconsistencias entre nodos que compartan tipo y parentId. Espero nivel 3 para las cajas registradas, sin afirmar que el control principal sea mayor que todos los secundarios.</t>
  </si>
  <si>
    <t>Con geometría de nodes.json, el control 208 junto al buscador mide 23,05 × 26 px y está pegado al campo 207, cuyo borde intersecta su círculo de 24 px. La falta de holgura se demuestra entre dos objetivos distintos; recomiendo ampliar el control y separarlo del área del campo.</t>
  </si>
  <si>
    <t>Evalúo las categorías equivalentes de la página 404, que no presentan un aislado, sin comparar artificialmente esas categorías con Volver al inicio. Asigno 0 por ausencia de aislamiento en ese conjunto como extensión interpretativa de la escala general, sin afirmar Bn ni evaluar un checkout que no fue capturado.</t>
  </si>
  <si>
    <t>Excluyo el documento y el contenedor de 1.440 × 5.564 px como objetivos independientes para no generar colisiones artificiales. Los siete enlaces menores de 24 px, incluidos los laterales de 19 px, sostienen nivel 1 con la holgura observada entre controles; recomiendo ampliar sus áreas interactivas.</t>
  </si>
  <si>
    <t>El indicador muestra tres posiciones, pero la caja superpuesta oculta parte del paso intermedio y los nombres no son legibles en el wireframe. Elijo nivel 1 porque hay una señal de avance que no permite ubicar con claridad el paso, sin asumir nombres o estado actual ausentes; recomiendo conservar etiquetas y una marca estructural del paso activo.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</si>
</sst>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sz val="10"/>
      <name val="Arial"/>
      <family val="2"/>
    </font>
    <font>
      <b/>
      <sz val="18"/>
      <color rgb="FF1F3864"/>
      <name val="Arial"/>
      <family val="2"/>
    </font>
    <font>
      <sz val="10"/>
      <color rgb="FF666666"/>
      <name val="Arial"/>
      <family val="2"/>
    </font>
    <font>
      <b/>
      <sz val="13"/>
      <color rgb="FF1F3864"/>
      <name val="Arial"/>
      <family val="2"/>
    </font>
    <font>
      <sz val="11"/>
      <color rgb="FF000000"/>
      <name val="Arial"/>
      <family val="2"/>
    </font>
    <font>
      <b/>
      <sz val="11"/>
      <color rgb="FF9C0006"/>
      <name val="Arial"/>
      <family val="2"/>
    </font>
    <font>
      <b/>
      <sz val="11"/>
      <color rgb="FF000000"/>
      <name val="Arial"/>
      <family val="2"/>
    </font>
    <font>
      <b/>
      <sz val="10"/>
      <color rgb="FFFFFFFF"/>
      <name val="Arial"/>
      <family val="2"/>
    </font>
    <font>
      <sz val="10"/>
      <name val="Arial"/>
      <family val="2"/>
    </font>
    <font>
      <u/>
      <sz val="9"/>
      <color rgb="FF0563C1"/>
      <name val="Arial"/>
      <family val="2"/>
    </font>
    <font>
      <b/>
      <sz val="10"/>
      <name val="Arial"/>
      <family val="2"/>
    </font>
    <font>
      <sz val="9"/>
      <color rgb="FF444444"/>
      <name val="Arial"/>
      <family val="2"/>
    </font>
    <font>
      <sz val="9"/>
      <color rgb="FF777777"/>
      <name val="Arial"/>
      <family val="2"/>
    </font>
    <font>
      <b/>
      <sz val="10"/>
      <color rgb="FF1F3864"/>
      <name val="Arial"/>
      <family val="2"/>
    </font>
    <font>
      <b/>
      <sz val="14"/>
      <color rgb="FF1F3864"/>
      <name val="Arial"/>
      <family val="2"/>
    </font>
    <font>
      <b/>
      <sz val="11"/>
      <name val="Arial"/>
      <family val="2"/>
    </font>
    <font>
      <i/>
      <sz val="10"/>
      <color rgb="FF9C0006"/>
      <name val="Arial"/>
      <family val="2"/>
    </font>
  </fonts>
  <fills count="5">
    <fill>
      <patternFill patternType="none"/>
    </fill>
    <fill>
      <patternFill patternType="gray125"/>
    </fill>
    <fill>
      <patternFill patternType="solid">
        <fgColor rgb="FF1F3864"/>
        <bgColor rgb="FF333399"/>
      </patternFill>
    </fill>
    <fill>
      <patternFill patternType="solid">
        <fgColor rgb="FFFFF2CC"/>
        <bgColor rgb="FFF2F2F2"/>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17" fillId="0" borderId="0" xfId="0" applyFont="1" applyAlignment="1">
      <alignment vertical="top" wrapText="1"/>
    </xf>
    <xf numFmtId="0" fontId="9" fillId="0" borderId="1" xfId="0" applyFont="1" applyBorder="1" applyAlignment="1">
      <alignment vertical="center" wrapText="1"/>
    </xf>
    <xf numFmtId="0" fontId="8" fillId="2" borderId="0" xfId="0" applyFont="1" applyFill="1" applyAlignment="1">
      <alignment horizontal="center" vertical="center"/>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2" borderId="0" xfId="0" applyFont="1" applyFill="1" applyAlignment="1">
      <alignment horizontal="center" vertical="center" wrapText="1"/>
    </xf>
    <xf numFmtId="0" fontId="9" fillId="0" borderId="1" xfId="0" applyFont="1" applyBorder="1" applyAlignment="1">
      <alignment vertical="center"/>
    </xf>
    <xf numFmtId="0" fontId="9" fillId="0" borderId="1" xfId="0" applyFont="1" applyBorder="1" applyAlignment="1">
      <alignment vertical="center" wrapText="1"/>
    </xf>
    <xf numFmtId="0" fontId="10" fillId="0" borderId="1" xfId="0" applyFont="1" applyBorder="1" applyAlignment="1">
      <alignment vertical="center"/>
    </xf>
    <xf numFmtId="0" fontId="11" fillId="0" borderId="1" xfId="0" applyFont="1" applyBorder="1" applyAlignment="1">
      <alignment horizontal="center" vertical="center"/>
    </xf>
    <xf numFmtId="0" fontId="12" fillId="0" borderId="1" xfId="0" applyFont="1" applyBorder="1" applyAlignment="1">
      <alignment vertical="center"/>
    </xf>
    <xf numFmtId="0" fontId="9" fillId="3" borderId="1" xfId="0" applyFont="1" applyFill="1" applyBorder="1" applyAlignment="1">
      <alignment vertical="center"/>
    </xf>
    <xf numFmtId="0" fontId="9" fillId="3" borderId="1" xfId="0" applyFont="1" applyFill="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9" fillId="4" borderId="1" xfId="0" applyFont="1" applyFill="1" applyBorder="1" applyAlignment="1">
      <alignment vertical="center"/>
    </xf>
    <xf numFmtId="0" fontId="9" fillId="4" borderId="1" xfId="0" applyFont="1" applyFill="1" applyBorder="1" applyAlignment="1">
      <alignment vertical="center" wrapText="1"/>
    </xf>
    <xf numFmtId="0" fontId="10" fillId="4" borderId="1" xfId="0" applyFont="1" applyFill="1" applyBorder="1" applyAlignment="1">
      <alignment vertical="center"/>
    </xf>
    <xf numFmtId="0" fontId="11" fillId="4" borderId="1" xfId="0" applyFont="1" applyFill="1" applyBorder="1" applyAlignment="1">
      <alignment horizontal="center" vertical="center"/>
    </xf>
    <xf numFmtId="0" fontId="12" fillId="4" borderId="1" xfId="0" applyFont="1" applyFill="1" applyBorder="1" applyAlignment="1">
      <alignment vertical="center"/>
    </xf>
    <xf numFmtId="0" fontId="12" fillId="4" borderId="1" xfId="0" applyFont="1" applyFill="1" applyBorder="1" applyAlignment="1">
      <alignment vertical="center" wrapText="1"/>
    </xf>
    <xf numFmtId="0" fontId="13" fillId="4" borderId="1" xfId="0" applyFont="1" applyFill="1" applyBorder="1" applyAlignment="1">
      <alignment vertical="center" wrapText="1"/>
    </xf>
    <xf numFmtId="0" fontId="11" fillId="0" borderId="0" xfId="0" applyFont="1"/>
    <xf numFmtId="0" fontId="14" fillId="0" borderId="0" xfId="0" applyFont="1"/>
    <xf numFmtId="0" fontId="15" fillId="0" borderId="0" xfId="0" applyFont="1"/>
    <xf numFmtId="0" fontId="8" fillId="2" borderId="0" xfId="0" applyFont="1" applyFill="1" applyAlignment="1">
      <alignment horizontal="center" vertical="center"/>
    </xf>
    <xf numFmtId="0" fontId="16" fillId="0" borderId="1" xfId="0" applyFont="1" applyBorder="1" applyAlignment="1">
      <alignment horizontal="center" vertical="center"/>
    </xf>
    <xf numFmtId="0" fontId="11" fillId="0" borderId="1" xfId="0" applyFont="1" applyBorder="1" applyAlignment="1">
      <alignment horizontal="center" vertical="center" wrapText="1"/>
    </xf>
    <xf numFmtId="0" fontId="9" fillId="0" borderId="1" xfId="0" applyFont="1" applyBorder="1" applyAlignment="1">
      <alignment horizontal="left" vertical="center" wrapText="1"/>
    </xf>
    <xf numFmtId="0" fontId="1"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77777"/>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bluradio.com/" TargetMode="External"/><Relationship Id="rId21" Type="http://schemas.openxmlformats.org/officeDocument/2006/relationships/hyperlink" Target="https://www.bancocajasocial.com/" TargetMode="External"/><Relationship Id="rId42" Type="http://schemas.openxmlformats.org/officeDocument/2006/relationships/hyperlink" Target="https://www.museonacional.gov.co/" TargetMode="External"/><Relationship Id="rId47" Type="http://schemas.openxmlformats.org/officeDocument/2006/relationships/hyperlink" Target="https://www.banrepcultural.org/" TargetMode="External"/><Relationship Id="rId63" Type="http://schemas.openxmlformats.org/officeDocument/2006/relationships/hyperlink" Target="https://www.ccb.org.co/tramites-y-consultas/renovaciones" TargetMode="External"/><Relationship Id="rId68" Type="http://schemas.openxmlformats.org/officeDocument/2006/relationships/hyperlink" Target="https://www.homecenter.com.co/homecenter-co/cart" TargetMode="External"/><Relationship Id="rId7" Type="http://schemas.openxmlformats.org/officeDocument/2006/relationships/hyperlink" Target="https://www.minjusticia.gov.co/" TargetMode="External"/><Relationship Id="rId71" Type="http://schemas.openxmlformats.org/officeDocument/2006/relationships/vmlDrawing" Target="../drawings/vmlDrawing1.vml"/><Relationship Id="rId2" Type="http://schemas.openxmlformats.org/officeDocument/2006/relationships/hyperlink" Target="https://www.minjusticia.gov.co/" TargetMode="External"/><Relationship Id="rId16" Type="http://schemas.openxmlformats.org/officeDocument/2006/relationships/hyperlink" Target="https://www.bancocajasocial.com/" TargetMode="External"/><Relationship Id="rId29" Type="http://schemas.openxmlformats.org/officeDocument/2006/relationships/hyperlink" Target="https://www.senalcolombia.tv/" TargetMode="External"/><Relationship Id="rId11" Type="http://schemas.openxmlformats.org/officeDocument/2006/relationships/hyperlink" Target="https://www.minambiente.gov.co/" TargetMode="External"/><Relationship Id="rId24" Type="http://schemas.openxmlformats.org/officeDocument/2006/relationships/hyperlink" Target="https://www.bluradio.com/" TargetMode="External"/><Relationship Id="rId32" Type="http://schemas.openxmlformats.org/officeDocument/2006/relationships/hyperlink" Target="https://www.senalcolombia.tv/" TargetMode="External"/><Relationship Id="rId37" Type="http://schemas.openxmlformats.org/officeDocument/2006/relationships/hyperlink" Target="https://www.museonacional.gov.co/" TargetMode="External"/><Relationship Id="rId40" Type="http://schemas.openxmlformats.org/officeDocument/2006/relationships/hyperlink" Target="https://www.museonacional.gov.co/" TargetMode="External"/><Relationship Id="rId45" Type="http://schemas.openxmlformats.org/officeDocument/2006/relationships/hyperlink" Target="https://www.banrepcultural.org/" TargetMode="External"/><Relationship Id="rId53" Type="http://schemas.openxmlformats.org/officeDocument/2006/relationships/hyperlink" Target="https://www.cruzverde.com.co/checkout" TargetMode="External"/><Relationship Id="rId58" Type="http://schemas.openxmlformats.org/officeDocument/2006/relationships/hyperlink" Target="https://www.ccb.org.co/tramites-y-consultas/renovaciones" TargetMode="External"/><Relationship Id="rId66" Type="http://schemas.openxmlformats.org/officeDocument/2006/relationships/hyperlink" Target="https://www.homecenter.com.co/homecenter-co/cart" TargetMode="External"/><Relationship Id="rId5" Type="http://schemas.openxmlformats.org/officeDocument/2006/relationships/hyperlink" Target="https://www.minjusticia.gov.co/" TargetMode="External"/><Relationship Id="rId61" Type="http://schemas.openxmlformats.org/officeDocument/2006/relationships/hyperlink" Target="https://www.ccb.org.co/tramites-y-consultas/renovaciones" TargetMode="External"/><Relationship Id="rId19" Type="http://schemas.openxmlformats.org/officeDocument/2006/relationships/hyperlink" Target="https://www.bancocajasocial.com/" TargetMode="External"/><Relationship Id="rId14" Type="http://schemas.openxmlformats.org/officeDocument/2006/relationships/hyperlink" Target="https://www.minambiente.gov.co/" TargetMode="External"/><Relationship Id="rId22" Type="http://schemas.openxmlformats.org/officeDocument/2006/relationships/hyperlink" Target="https://www.bluradio.com/" TargetMode="External"/><Relationship Id="rId27" Type="http://schemas.openxmlformats.org/officeDocument/2006/relationships/hyperlink" Target="https://www.bluradio.com/" TargetMode="External"/><Relationship Id="rId30" Type="http://schemas.openxmlformats.org/officeDocument/2006/relationships/hyperlink" Target="https://www.senalcolombia.tv/" TargetMode="External"/><Relationship Id="rId35" Type="http://schemas.openxmlformats.org/officeDocument/2006/relationships/hyperlink" Target="https://www.senalcolombia.tv/" TargetMode="External"/><Relationship Id="rId43" Type="http://schemas.openxmlformats.org/officeDocument/2006/relationships/hyperlink" Target="https://www.banrepcultural.org/" TargetMode="External"/><Relationship Id="rId48" Type="http://schemas.openxmlformats.org/officeDocument/2006/relationships/hyperlink" Target="https://www.banrepcultural.org/" TargetMode="External"/><Relationship Id="rId56" Type="http://schemas.openxmlformats.org/officeDocument/2006/relationships/hyperlink" Target="https://www.cruzverde.com.co/checkout" TargetMode="External"/><Relationship Id="rId64" Type="http://schemas.openxmlformats.org/officeDocument/2006/relationships/hyperlink" Target="https://www.homecenter.com.co/homecenter-co/cart" TargetMode="External"/><Relationship Id="rId69" Type="http://schemas.openxmlformats.org/officeDocument/2006/relationships/hyperlink" Target="https://www.homecenter.com.co/homecenter-co/cart" TargetMode="External"/><Relationship Id="rId8" Type="http://schemas.openxmlformats.org/officeDocument/2006/relationships/hyperlink" Target="https://www.minambiente.gov.co/" TargetMode="External"/><Relationship Id="rId51" Type="http://schemas.openxmlformats.org/officeDocument/2006/relationships/hyperlink" Target="https://www.cruzverde.com.co/checkout" TargetMode="External"/><Relationship Id="rId72" Type="http://schemas.openxmlformats.org/officeDocument/2006/relationships/comments" Target="../comments1.xml"/><Relationship Id="rId3" Type="http://schemas.openxmlformats.org/officeDocument/2006/relationships/hyperlink" Target="https://www.minjusticia.gov.co/" TargetMode="External"/><Relationship Id="rId12" Type="http://schemas.openxmlformats.org/officeDocument/2006/relationships/hyperlink" Target="https://www.minambiente.gov.co/" TargetMode="External"/><Relationship Id="rId17" Type="http://schemas.openxmlformats.org/officeDocument/2006/relationships/hyperlink" Target="https://www.bancocajasocial.com/" TargetMode="External"/><Relationship Id="rId25" Type="http://schemas.openxmlformats.org/officeDocument/2006/relationships/hyperlink" Target="https://www.bluradio.com/" TargetMode="External"/><Relationship Id="rId33" Type="http://schemas.openxmlformats.org/officeDocument/2006/relationships/hyperlink" Target="https://www.senalcolombia.tv/" TargetMode="External"/><Relationship Id="rId38" Type="http://schemas.openxmlformats.org/officeDocument/2006/relationships/hyperlink" Target="https://www.museonacional.gov.co/" TargetMode="External"/><Relationship Id="rId46" Type="http://schemas.openxmlformats.org/officeDocument/2006/relationships/hyperlink" Target="https://www.banrepcultural.org/" TargetMode="External"/><Relationship Id="rId59" Type="http://schemas.openxmlformats.org/officeDocument/2006/relationships/hyperlink" Target="https://www.ccb.org.co/tramites-y-consultas/renovaciones" TargetMode="External"/><Relationship Id="rId67" Type="http://schemas.openxmlformats.org/officeDocument/2006/relationships/hyperlink" Target="https://www.homecenter.com.co/homecenter-co/cart" TargetMode="External"/><Relationship Id="rId20" Type="http://schemas.openxmlformats.org/officeDocument/2006/relationships/hyperlink" Target="https://www.bancocajasocial.com/" TargetMode="External"/><Relationship Id="rId41" Type="http://schemas.openxmlformats.org/officeDocument/2006/relationships/hyperlink" Target="https://www.museonacional.gov.co/" TargetMode="External"/><Relationship Id="rId54" Type="http://schemas.openxmlformats.org/officeDocument/2006/relationships/hyperlink" Target="https://www.cruzverde.com.co/checkout" TargetMode="External"/><Relationship Id="rId62" Type="http://schemas.openxmlformats.org/officeDocument/2006/relationships/hyperlink" Target="https://www.ccb.org.co/tramites-y-consultas/renovaciones" TargetMode="External"/><Relationship Id="rId70" Type="http://schemas.openxmlformats.org/officeDocument/2006/relationships/hyperlink" Target="https://www.homecenter.com.co/homecenter-co/cart" TargetMode="External"/><Relationship Id="rId1" Type="http://schemas.openxmlformats.org/officeDocument/2006/relationships/hyperlink" Target="https://www.minjusticia.gov.co/" TargetMode="External"/><Relationship Id="rId6" Type="http://schemas.openxmlformats.org/officeDocument/2006/relationships/hyperlink" Target="https://www.minjusticia.gov.co/" TargetMode="External"/><Relationship Id="rId15" Type="http://schemas.openxmlformats.org/officeDocument/2006/relationships/hyperlink" Target="https://www.bancocajasocial.com/" TargetMode="External"/><Relationship Id="rId23" Type="http://schemas.openxmlformats.org/officeDocument/2006/relationships/hyperlink" Target="https://www.bluradio.com/" TargetMode="External"/><Relationship Id="rId28" Type="http://schemas.openxmlformats.org/officeDocument/2006/relationships/hyperlink" Target="https://www.bluradio.com/" TargetMode="External"/><Relationship Id="rId36" Type="http://schemas.openxmlformats.org/officeDocument/2006/relationships/hyperlink" Target="https://www.museonacional.gov.co/" TargetMode="External"/><Relationship Id="rId49" Type="http://schemas.openxmlformats.org/officeDocument/2006/relationships/hyperlink" Target="https://www.banrepcultural.org/" TargetMode="External"/><Relationship Id="rId57" Type="http://schemas.openxmlformats.org/officeDocument/2006/relationships/hyperlink" Target="https://www.ccb.org.co/tramites-y-consultas/renovaciones" TargetMode="External"/><Relationship Id="rId10" Type="http://schemas.openxmlformats.org/officeDocument/2006/relationships/hyperlink" Target="https://www.minambiente.gov.co/" TargetMode="External"/><Relationship Id="rId31" Type="http://schemas.openxmlformats.org/officeDocument/2006/relationships/hyperlink" Target="https://www.senalcolombia.tv/" TargetMode="External"/><Relationship Id="rId44" Type="http://schemas.openxmlformats.org/officeDocument/2006/relationships/hyperlink" Target="https://www.banrepcultural.org/" TargetMode="External"/><Relationship Id="rId52" Type="http://schemas.openxmlformats.org/officeDocument/2006/relationships/hyperlink" Target="https://www.cruzverde.com.co/checkout" TargetMode="External"/><Relationship Id="rId60" Type="http://schemas.openxmlformats.org/officeDocument/2006/relationships/hyperlink" Target="https://www.ccb.org.co/tramites-y-consultas/renovaciones" TargetMode="External"/><Relationship Id="rId65" Type="http://schemas.openxmlformats.org/officeDocument/2006/relationships/hyperlink" Target="https://www.homecenter.com.co/homecenter-co/cart" TargetMode="External"/><Relationship Id="rId4" Type="http://schemas.openxmlformats.org/officeDocument/2006/relationships/hyperlink" Target="https://www.minjusticia.gov.co/" TargetMode="External"/><Relationship Id="rId9" Type="http://schemas.openxmlformats.org/officeDocument/2006/relationships/hyperlink" Target="https://www.minambiente.gov.co/" TargetMode="External"/><Relationship Id="rId13" Type="http://schemas.openxmlformats.org/officeDocument/2006/relationships/hyperlink" Target="https://www.minambiente.gov.co/" TargetMode="External"/><Relationship Id="rId18" Type="http://schemas.openxmlformats.org/officeDocument/2006/relationships/hyperlink" Target="https://www.bancocajasocial.com/" TargetMode="External"/><Relationship Id="rId39" Type="http://schemas.openxmlformats.org/officeDocument/2006/relationships/hyperlink" Target="https://www.museonacional.gov.co/" TargetMode="External"/><Relationship Id="rId34" Type="http://schemas.openxmlformats.org/officeDocument/2006/relationships/hyperlink" Target="https://www.senalcolombia.tv/" TargetMode="External"/><Relationship Id="rId50" Type="http://schemas.openxmlformats.org/officeDocument/2006/relationships/hyperlink" Target="https://www.cruzverde.com.co/checkout" TargetMode="External"/><Relationship Id="rId55" Type="http://schemas.openxmlformats.org/officeDocument/2006/relationships/hyperlink" Target="https://www.cruzverde.com.co/checko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2"/>
  <sheetViews>
    <sheetView showGridLines="0" zoomScaleNormal="100" workbookViewId="0"/>
  </sheetViews>
  <sheetFormatPr baseColWidth="10" defaultColWidth="8.6640625" defaultRowHeight="15" x14ac:dyDescent="0.2"/>
  <cols>
    <col min="1" max="1" width="3" customWidth="1"/>
    <col min="2" max="2" width="110" customWidth="1"/>
  </cols>
  <sheetData>
    <row r="2" spans="2:2" ht="24" x14ac:dyDescent="0.2">
      <c r="B2" s="4" t="s">
        <v>0</v>
      </c>
    </row>
    <row r="3" spans="2:2" x14ac:dyDescent="0.2">
      <c r="B3" s="5" t="s">
        <v>1</v>
      </c>
    </row>
    <row r="5" spans="2:2" ht="18" x14ac:dyDescent="0.2">
      <c r="B5" s="6" t="s">
        <v>2</v>
      </c>
    </row>
    <row r="6" spans="2:2" ht="31.5" customHeight="1" x14ac:dyDescent="0.2">
      <c r="B6" s="7" t="s">
        <v>3</v>
      </c>
    </row>
    <row r="8" spans="2:2" ht="18" x14ac:dyDescent="0.2">
      <c r="B8" s="6" t="s">
        <v>4</v>
      </c>
    </row>
    <row r="9" spans="2:2" ht="60" customHeight="1" x14ac:dyDescent="0.2">
      <c r="B9" s="7" t="s">
        <v>5</v>
      </c>
    </row>
    <row r="11" spans="2:2" ht="18" x14ac:dyDescent="0.2">
      <c r="B11" s="6" t="s">
        <v>6</v>
      </c>
    </row>
    <row r="12" spans="2:2" ht="31.5" customHeight="1" x14ac:dyDescent="0.2">
      <c r="B12" s="7" t="s">
        <v>7</v>
      </c>
    </row>
    <row r="13" spans="2:2" ht="31.5" customHeight="1" x14ac:dyDescent="0.2">
      <c r="B13" s="7" t="s">
        <v>8</v>
      </c>
    </row>
    <row r="14" spans="2:2" ht="31.5" customHeight="1" x14ac:dyDescent="0.2">
      <c r="B14" s="7" t="s">
        <v>9</v>
      </c>
    </row>
    <row r="15" spans="2:2" ht="31.5" customHeight="1" x14ac:dyDescent="0.2">
      <c r="B15" s="7" t="s">
        <v>10</v>
      </c>
    </row>
    <row r="17" spans="2:2" ht="18" x14ac:dyDescent="0.2">
      <c r="B17" s="6" t="s">
        <v>11</v>
      </c>
    </row>
    <row r="18" spans="2:2" x14ac:dyDescent="0.2">
      <c r="B18" s="7" t="s">
        <v>12</v>
      </c>
    </row>
    <row r="19" spans="2:2" ht="27.75" customHeight="1" x14ac:dyDescent="0.2">
      <c r="B19" s="7" t="s">
        <v>13</v>
      </c>
    </row>
    <row r="20" spans="2:2" ht="27.75" customHeight="1" x14ac:dyDescent="0.2">
      <c r="B20" s="7" t="s">
        <v>14</v>
      </c>
    </row>
    <row r="21" spans="2:2" ht="27.75" customHeight="1" x14ac:dyDescent="0.2">
      <c r="B21" s="7" t="s">
        <v>15</v>
      </c>
    </row>
    <row r="23" spans="2:2" ht="18" x14ac:dyDescent="0.2">
      <c r="B23" s="6" t="s">
        <v>16</v>
      </c>
    </row>
    <row r="24" spans="2:2" ht="61.5" customHeight="1" x14ac:dyDescent="0.2">
      <c r="B24" s="8" t="s">
        <v>17</v>
      </c>
    </row>
    <row r="26" spans="2:2" ht="18" x14ac:dyDescent="0.2">
      <c r="B26" s="6" t="s">
        <v>18</v>
      </c>
    </row>
    <row r="27" spans="2:2" x14ac:dyDescent="0.2">
      <c r="B27" s="7" t="s">
        <v>19</v>
      </c>
    </row>
    <row r="28" spans="2:2" ht="31.5" customHeight="1" x14ac:dyDescent="0.2">
      <c r="B28" s="7" t="s">
        <v>20</v>
      </c>
    </row>
    <row r="30" spans="2:2" ht="18" x14ac:dyDescent="0.2">
      <c r="B30" s="6" t="s">
        <v>21</v>
      </c>
    </row>
    <row r="31" spans="2:2" ht="31.5" customHeight="1" x14ac:dyDescent="0.2">
      <c r="B31" s="7" t="s">
        <v>22</v>
      </c>
    </row>
    <row r="32" spans="2:2" x14ac:dyDescent="0.2">
      <c r="B32" s="9" t="s">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3"/>
  <sheetViews>
    <sheetView tabSelected="1" zoomScaleNormal="100" workbookViewId="0">
      <pane xSplit="7" ySplit="1" topLeftCell="H2" activePane="bottomRight" state="frozen"/>
      <selection pane="topRight" activeCell="H1" sqref="H1"/>
      <selection pane="bottomLeft" activeCell="A2" sqref="A2"/>
      <selection pane="bottomRight" activeCell="F4" sqref="F4"/>
    </sheetView>
  </sheetViews>
  <sheetFormatPr baseColWidth="10" defaultColWidth="8.6640625" defaultRowHeight="15" x14ac:dyDescent="0.2"/>
  <cols>
    <col min="1" max="1" width="8" customWidth="1"/>
    <col min="2" max="2" width="30" customWidth="1"/>
    <col min="3" max="3" width="40" customWidth="1"/>
    <col min="4" max="4" width="7" customWidth="1"/>
    <col min="5" max="5" width="26" customWidth="1"/>
    <col min="6" max="6" width="12" customWidth="1"/>
    <col min="7" max="7" width="26" customWidth="1"/>
    <col min="8" max="8" width="15" customWidth="1"/>
    <col min="9" max="9" width="20" customWidth="1"/>
    <col min="10" max="10" width="52" customWidth="1"/>
    <col min="11" max="11" width="46" customWidth="1"/>
    <col min="12" max="12" width="54" customWidth="1"/>
  </cols>
  <sheetData>
    <row r="1" spans="1:12" ht="33.75" customHeight="1" x14ac:dyDescent="0.2">
      <c r="A1" s="10" t="s">
        <v>24</v>
      </c>
      <c r="B1" s="10" t="s">
        <v>25</v>
      </c>
      <c r="C1" s="10" t="s">
        <v>26</v>
      </c>
      <c r="D1" s="10" t="s">
        <v>27</v>
      </c>
      <c r="E1" s="10" t="s">
        <v>28</v>
      </c>
      <c r="F1" s="10" t="s">
        <v>29</v>
      </c>
      <c r="G1" s="10" t="s">
        <v>30</v>
      </c>
      <c r="H1" s="10" t="s">
        <v>31</v>
      </c>
      <c r="I1" s="10" t="s">
        <v>32</v>
      </c>
      <c r="J1" s="10" t="s">
        <v>33</v>
      </c>
      <c r="K1" s="10" t="s">
        <v>34</v>
      </c>
      <c r="L1" s="10" t="s">
        <v>35</v>
      </c>
    </row>
    <row r="2" spans="1:12" ht="98" x14ac:dyDescent="0.2">
      <c r="A2" s="11" t="s">
        <v>36</v>
      </c>
      <c r="B2" s="12" t="s">
        <v>37</v>
      </c>
      <c r="C2" s="13" t="s">
        <v>38</v>
      </c>
      <c r="D2" s="14" t="s">
        <v>39</v>
      </c>
      <c r="E2" s="12" t="s">
        <v>40</v>
      </c>
      <c r="F2" s="11" t="s">
        <v>41</v>
      </c>
      <c r="G2" s="15" t="s">
        <v>42</v>
      </c>
      <c r="H2" s="16">
        <v>2</v>
      </c>
      <c r="I2" s="16" t="s">
        <v>145</v>
      </c>
      <c r="J2" s="34" t="s">
        <v>168</v>
      </c>
      <c r="K2" s="18" t="s">
        <v>43</v>
      </c>
      <c r="L2" s="19" t="s">
        <v>44</v>
      </c>
    </row>
    <row r="3" spans="1:12" ht="84" x14ac:dyDescent="0.2">
      <c r="A3" s="11" t="s">
        <v>36</v>
      </c>
      <c r="B3" s="12" t="s">
        <v>37</v>
      </c>
      <c r="C3" s="13" t="s">
        <v>38</v>
      </c>
      <c r="D3" s="14" t="s">
        <v>45</v>
      </c>
      <c r="E3" s="12" t="s">
        <v>46</v>
      </c>
      <c r="F3" s="11" t="s">
        <v>41</v>
      </c>
      <c r="G3" s="15" t="s">
        <v>42</v>
      </c>
      <c r="H3" s="16">
        <v>0</v>
      </c>
      <c r="I3" s="16" t="s">
        <v>146</v>
      </c>
      <c r="J3" s="34" t="s">
        <v>169</v>
      </c>
      <c r="K3" s="18" t="s">
        <v>47</v>
      </c>
      <c r="L3" s="19" t="s">
        <v>48</v>
      </c>
    </row>
    <row r="4" spans="1:12" ht="84" x14ac:dyDescent="0.2">
      <c r="A4" s="11" t="s">
        <v>36</v>
      </c>
      <c r="B4" s="12" t="s">
        <v>37</v>
      </c>
      <c r="C4" s="13" t="s">
        <v>38</v>
      </c>
      <c r="D4" s="14" t="s">
        <v>49</v>
      </c>
      <c r="E4" s="12" t="s">
        <v>50</v>
      </c>
      <c r="F4" s="11" t="s">
        <v>41</v>
      </c>
      <c r="G4" s="15" t="s">
        <v>42</v>
      </c>
      <c r="H4" s="16">
        <v>2</v>
      </c>
      <c r="I4" s="16" t="s">
        <v>147</v>
      </c>
      <c r="J4" s="34" t="s">
        <v>214</v>
      </c>
      <c r="K4" s="18" t="s">
        <v>51</v>
      </c>
      <c r="L4" s="19" t="s">
        <v>52</v>
      </c>
    </row>
    <row r="5" spans="1:12" ht="70" x14ac:dyDescent="0.2">
      <c r="A5" s="11" t="s">
        <v>36</v>
      </c>
      <c r="B5" s="12" t="s">
        <v>37</v>
      </c>
      <c r="C5" s="13" t="s">
        <v>38</v>
      </c>
      <c r="D5" s="14" t="s">
        <v>53</v>
      </c>
      <c r="E5" s="12" t="s">
        <v>54</v>
      </c>
      <c r="F5" s="11" t="s">
        <v>55</v>
      </c>
      <c r="G5" s="15" t="s">
        <v>56</v>
      </c>
      <c r="H5" s="16">
        <v>0</v>
      </c>
      <c r="I5" s="16" t="s">
        <v>148</v>
      </c>
      <c r="J5" s="34" t="s">
        <v>216</v>
      </c>
      <c r="K5" s="18" t="s">
        <v>57</v>
      </c>
      <c r="L5" s="19" t="s">
        <v>58</v>
      </c>
    </row>
    <row r="6" spans="1:12" ht="84" x14ac:dyDescent="0.2">
      <c r="A6" s="11" t="s">
        <v>36</v>
      </c>
      <c r="B6" s="12" t="s">
        <v>37</v>
      </c>
      <c r="C6" s="13" t="s">
        <v>38</v>
      </c>
      <c r="D6" s="14" t="s">
        <v>59</v>
      </c>
      <c r="E6" s="12" t="s">
        <v>60</v>
      </c>
      <c r="F6" s="11" t="s">
        <v>41</v>
      </c>
      <c r="G6" s="15" t="s">
        <v>42</v>
      </c>
      <c r="H6" s="16">
        <v>0</v>
      </c>
      <c r="I6" s="16" t="s">
        <v>149</v>
      </c>
      <c r="J6" s="17" t="s">
        <v>170</v>
      </c>
      <c r="K6" s="18" t="s">
        <v>61</v>
      </c>
      <c r="L6" s="19" t="s">
        <v>62</v>
      </c>
    </row>
    <row r="7" spans="1:12" ht="84" x14ac:dyDescent="0.2">
      <c r="A7" s="11" t="s">
        <v>36</v>
      </c>
      <c r="B7" s="12" t="s">
        <v>37</v>
      </c>
      <c r="C7" s="13" t="s">
        <v>38</v>
      </c>
      <c r="D7" s="14" t="s">
        <v>63</v>
      </c>
      <c r="E7" s="12" t="s">
        <v>64</v>
      </c>
      <c r="F7" s="11" t="s">
        <v>41</v>
      </c>
      <c r="G7" s="15" t="s">
        <v>42</v>
      </c>
      <c r="H7" s="16">
        <v>3</v>
      </c>
      <c r="I7" s="16" t="s">
        <v>150</v>
      </c>
      <c r="J7" s="17" t="s">
        <v>171</v>
      </c>
      <c r="K7" s="18" t="s">
        <v>65</v>
      </c>
      <c r="L7" s="19" t="s">
        <v>66</v>
      </c>
    </row>
    <row r="8" spans="1:12" ht="70" x14ac:dyDescent="0.2">
      <c r="A8" s="11" t="s">
        <v>36</v>
      </c>
      <c r="B8" s="12" t="s">
        <v>37</v>
      </c>
      <c r="C8" s="13" t="s">
        <v>38</v>
      </c>
      <c r="D8" s="14" t="s">
        <v>67</v>
      </c>
      <c r="E8" s="12" t="s">
        <v>68</v>
      </c>
      <c r="F8" s="11" t="s">
        <v>41</v>
      </c>
      <c r="G8" s="15" t="s">
        <v>42</v>
      </c>
      <c r="H8" s="16">
        <v>1</v>
      </c>
      <c r="I8" s="16" t="s">
        <v>151</v>
      </c>
      <c r="J8" s="34" t="s">
        <v>217</v>
      </c>
      <c r="K8" s="18" t="s">
        <v>69</v>
      </c>
      <c r="L8" s="19" t="s">
        <v>70</v>
      </c>
    </row>
    <row r="9" spans="1:12" ht="70" x14ac:dyDescent="0.2">
      <c r="A9" s="20" t="s">
        <v>71</v>
      </c>
      <c r="B9" s="21" t="s">
        <v>72</v>
      </c>
      <c r="C9" s="22" t="s">
        <v>73</v>
      </c>
      <c r="D9" s="23" t="s">
        <v>39</v>
      </c>
      <c r="E9" s="21" t="s">
        <v>40</v>
      </c>
      <c r="F9" s="20" t="s">
        <v>41</v>
      </c>
      <c r="G9" s="24" t="s">
        <v>74</v>
      </c>
      <c r="H9" s="16">
        <v>2</v>
      </c>
      <c r="I9" s="16" t="s">
        <v>152</v>
      </c>
      <c r="J9" s="34" t="s">
        <v>172</v>
      </c>
      <c r="K9" s="25" t="s">
        <v>43</v>
      </c>
      <c r="L9" s="26" t="s">
        <v>44</v>
      </c>
    </row>
    <row r="10" spans="1:12" ht="84" x14ac:dyDescent="0.2">
      <c r="A10" s="20" t="s">
        <v>71</v>
      </c>
      <c r="B10" s="21" t="s">
        <v>72</v>
      </c>
      <c r="C10" s="22" t="s">
        <v>73</v>
      </c>
      <c r="D10" s="23" t="s">
        <v>45</v>
      </c>
      <c r="E10" s="21" t="s">
        <v>46</v>
      </c>
      <c r="F10" s="20" t="s">
        <v>41</v>
      </c>
      <c r="G10" s="24" t="s">
        <v>74</v>
      </c>
      <c r="H10" s="16">
        <v>0</v>
      </c>
      <c r="I10" s="16" t="s">
        <v>146</v>
      </c>
      <c r="J10" s="17" t="s">
        <v>173</v>
      </c>
      <c r="K10" s="25" t="s">
        <v>47</v>
      </c>
      <c r="L10" s="26" t="s">
        <v>48</v>
      </c>
    </row>
    <row r="11" spans="1:12" ht="84" x14ac:dyDescent="0.2">
      <c r="A11" s="20" t="s">
        <v>71</v>
      </c>
      <c r="B11" s="21" t="s">
        <v>72</v>
      </c>
      <c r="C11" s="22" t="s">
        <v>73</v>
      </c>
      <c r="D11" s="23" t="s">
        <v>49</v>
      </c>
      <c r="E11" s="21" t="s">
        <v>50</v>
      </c>
      <c r="F11" s="20" t="s">
        <v>41</v>
      </c>
      <c r="G11" s="24" t="s">
        <v>74</v>
      </c>
      <c r="H11" s="16">
        <v>2</v>
      </c>
      <c r="I11" s="16" t="s">
        <v>147</v>
      </c>
      <c r="J11" s="34" t="s">
        <v>215</v>
      </c>
      <c r="K11" s="25" t="s">
        <v>51</v>
      </c>
      <c r="L11" s="26" t="s">
        <v>52</v>
      </c>
    </row>
    <row r="12" spans="1:12" ht="98" x14ac:dyDescent="0.2">
      <c r="A12" s="20" t="s">
        <v>71</v>
      </c>
      <c r="B12" s="21" t="s">
        <v>72</v>
      </c>
      <c r="C12" s="22" t="s">
        <v>73</v>
      </c>
      <c r="D12" s="23" t="s">
        <v>53</v>
      </c>
      <c r="E12" s="21" t="s">
        <v>54</v>
      </c>
      <c r="F12" s="20" t="s">
        <v>55</v>
      </c>
      <c r="G12" s="24" t="s">
        <v>75</v>
      </c>
      <c r="H12" s="16">
        <v>3</v>
      </c>
      <c r="I12" s="16" t="s">
        <v>150</v>
      </c>
      <c r="J12" s="17" t="s">
        <v>161</v>
      </c>
      <c r="K12" s="25" t="s">
        <v>57</v>
      </c>
      <c r="L12" s="26" t="s">
        <v>58</v>
      </c>
    </row>
    <row r="13" spans="1:12" ht="84" x14ac:dyDescent="0.2">
      <c r="A13" s="20" t="s">
        <v>71</v>
      </c>
      <c r="B13" s="21" t="s">
        <v>72</v>
      </c>
      <c r="C13" s="22" t="s">
        <v>73</v>
      </c>
      <c r="D13" s="23" t="s">
        <v>59</v>
      </c>
      <c r="E13" s="21" t="s">
        <v>60</v>
      </c>
      <c r="F13" s="20" t="s">
        <v>41</v>
      </c>
      <c r="G13" s="24" t="s">
        <v>74</v>
      </c>
      <c r="H13" s="16">
        <v>3</v>
      </c>
      <c r="I13" s="16" t="s">
        <v>153</v>
      </c>
      <c r="J13" s="17" t="s">
        <v>174</v>
      </c>
      <c r="K13" s="25" t="s">
        <v>61</v>
      </c>
      <c r="L13" s="26" t="s">
        <v>62</v>
      </c>
    </row>
    <row r="14" spans="1:12" ht="84" x14ac:dyDescent="0.2">
      <c r="A14" s="20" t="s">
        <v>71</v>
      </c>
      <c r="B14" s="21" t="s">
        <v>72</v>
      </c>
      <c r="C14" s="22" t="s">
        <v>73</v>
      </c>
      <c r="D14" s="23" t="s">
        <v>63</v>
      </c>
      <c r="E14" s="21" t="s">
        <v>64</v>
      </c>
      <c r="F14" s="20" t="s">
        <v>41</v>
      </c>
      <c r="G14" s="24" t="s">
        <v>74</v>
      </c>
      <c r="H14" s="16">
        <v>3</v>
      </c>
      <c r="I14" s="16" t="s">
        <v>150</v>
      </c>
      <c r="J14" s="17" t="s">
        <v>175</v>
      </c>
      <c r="K14" s="25" t="s">
        <v>65</v>
      </c>
      <c r="L14" s="26" t="s">
        <v>66</v>
      </c>
    </row>
    <row r="15" spans="1:12" ht="84" x14ac:dyDescent="0.2">
      <c r="A15" s="20" t="s">
        <v>71</v>
      </c>
      <c r="B15" s="21" t="s">
        <v>72</v>
      </c>
      <c r="C15" s="22" t="s">
        <v>73</v>
      </c>
      <c r="D15" s="23" t="s">
        <v>67</v>
      </c>
      <c r="E15" s="21" t="s">
        <v>68</v>
      </c>
      <c r="F15" s="20" t="s">
        <v>41</v>
      </c>
      <c r="G15" s="24" t="s">
        <v>74</v>
      </c>
      <c r="H15" s="16">
        <v>1</v>
      </c>
      <c r="I15" s="16" t="s">
        <v>154</v>
      </c>
      <c r="J15" s="34" t="s">
        <v>218</v>
      </c>
      <c r="K15" s="25" t="s">
        <v>69</v>
      </c>
      <c r="L15" s="26" t="s">
        <v>70</v>
      </c>
    </row>
    <row r="16" spans="1:12" ht="84" x14ac:dyDescent="0.2">
      <c r="A16" s="11" t="s">
        <v>76</v>
      </c>
      <c r="B16" s="12" t="s">
        <v>77</v>
      </c>
      <c r="C16" s="13" t="s">
        <v>78</v>
      </c>
      <c r="D16" s="14" t="s">
        <v>39</v>
      </c>
      <c r="E16" s="12" t="s">
        <v>40</v>
      </c>
      <c r="F16" s="11" t="s">
        <v>41</v>
      </c>
      <c r="G16" s="15" t="s">
        <v>79</v>
      </c>
      <c r="H16" s="16">
        <v>2</v>
      </c>
      <c r="I16" s="16" t="s">
        <v>145</v>
      </c>
      <c r="J16" s="17" t="s">
        <v>176</v>
      </c>
      <c r="K16" s="18" t="s">
        <v>43</v>
      </c>
      <c r="L16" s="19" t="s">
        <v>44</v>
      </c>
    </row>
    <row r="17" spans="1:12" ht="84" x14ac:dyDescent="0.2">
      <c r="A17" s="11" t="s">
        <v>76</v>
      </c>
      <c r="B17" s="12" t="s">
        <v>77</v>
      </c>
      <c r="C17" s="13" t="s">
        <v>78</v>
      </c>
      <c r="D17" s="14" t="s">
        <v>45</v>
      </c>
      <c r="E17" s="12" t="s">
        <v>46</v>
      </c>
      <c r="F17" s="11" t="s">
        <v>41</v>
      </c>
      <c r="G17" s="15" t="s">
        <v>79</v>
      </c>
      <c r="H17" s="16">
        <v>2</v>
      </c>
      <c r="I17" s="16" t="s">
        <v>146</v>
      </c>
      <c r="J17" s="17" t="s">
        <v>177</v>
      </c>
      <c r="K17" s="18" t="s">
        <v>47</v>
      </c>
      <c r="L17" s="19" t="s">
        <v>48</v>
      </c>
    </row>
    <row r="18" spans="1:12" ht="84" x14ac:dyDescent="0.2">
      <c r="A18" s="11" t="s">
        <v>76</v>
      </c>
      <c r="B18" s="12" t="s">
        <v>77</v>
      </c>
      <c r="C18" s="13" t="s">
        <v>78</v>
      </c>
      <c r="D18" s="14" t="s">
        <v>49</v>
      </c>
      <c r="E18" s="12" t="s">
        <v>50</v>
      </c>
      <c r="F18" s="11" t="s">
        <v>41</v>
      </c>
      <c r="G18" s="15" t="s">
        <v>79</v>
      </c>
      <c r="H18" s="16">
        <v>3</v>
      </c>
      <c r="I18" s="16" t="s">
        <v>150</v>
      </c>
      <c r="J18" s="17" t="s">
        <v>178</v>
      </c>
      <c r="K18" s="18" t="s">
        <v>51</v>
      </c>
      <c r="L18" s="19" t="s">
        <v>52</v>
      </c>
    </row>
    <row r="19" spans="1:12" ht="112" x14ac:dyDescent="0.2">
      <c r="A19" s="11" t="s">
        <v>76</v>
      </c>
      <c r="B19" s="12" t="s">
        <v>77</v>
      </c>
      <c r="C19" s="13" t="s">
        <v>78</v>
      </c>
      <c r="D19" s="14" t="s">
        <v>53</v>
      </c>
      <c r="E19" s="12" t="s">
        <v>54</v>
      </c>
      <c r="F19" s="11" t="s">
        <v>55</v>
      </c>
      <c r="G19" s="15" t="s">
        <v>80</v>
      </c>
      <c r="H19" s="16">
        <v>0</v>
      </c>
      <c r="I19" s="16" t="s">
        <v>155</v>
      </c>
      <c r="J19" s="17" t="s">
        <v>162</v>
      </c>
      <c r="K19" s="18" t="s">
        <v>57</v>
      </c>
      <c r="L19" s="19" t="s">
        <v>58</v>
      </c>
    </row>
    <row r="20" spans="1:12" ht="84" x14ac:dyDescent="0.2">
      <c r="A20" s="11" t="s">
        <v>76</v>
      </c>
      <c r="B20" s="12" t="s">
        <v>77</v>
      </c>
      <c r="C20" s="13" t="s">
        <v>78</v>
      </c>
      <c r="D20" s="14" t="s">
        <v>59</v>
      </c>
      <c r="E20" s="12" t="s">
        <v>60</v>
      </c>
      <c r="F20" s="11" t="s">
        <v>41</v>
      </c>
      <c r="G20" s="15" t="s">
        <v>79</v>
      </c>
      <c r="H20" s="16">
        <v>1</v>
      </c>
      <c r="I20" s="16" t="s">
        <v>149</v>
      </c>
      <c r="J20" s="17" t="s">
        <v>179</v>
      </c>
      <c r="K20" s="18" t="s">
        <v>61</v>
      </c>
      <c r="L20" s="19" t="s">
        <v>62</v>
      </c>
    </row>
    <row r="21" spans="1:12" ht="84" x14ac:dyDescent="0.2">
      <c r="A21" s="11" t="s">
        <v>76</v>
      </c>
      <c r="B21" s="12" t="s">
        <v>77</v>
      </c>
      <c r="C21" s="13" t="s">
        <v>78</v>
      </c>
      <c r="D21" s="14" t="s">
        <v>63</v>
      </c>
      <c r="E21" s="12" t="s">
        <v>64</v>
      </c>
      <c r="F21" s="11" t="s">
        <v>41</v>
      </c>
      <c r="G21" s="15" t="s">
        <v>79</v>
      </c>
      <c r="H21" s="16">
        <v>3</v>
      </c>
      <c r="I21" s="16" t="s">
        <v>150</v>
      </c>
      <c r="J21" s="17" t="s">
        <v>180</v>
      </c>
      <c r="K21" s="18" t="s">
        <v>65</v>
      </c>
      <c r="L21" s="19" t="s">
        <v>66</v>
      </c>
    </row>
    <row r="22" spans="1:12" ht="84" x14ac:dyDescent="0.2">
      <c r="A22" s="11" t="s">
        <v>76</v>
      </c>
      <c r="B22" s="12" t="s">
        <v>77</v>
      </c>
      <c r="C22" s="13" t="s">
        <v>78</v>
      </c>
      <c r="D22" s="14" t="s">
        <v>67</v>
      </c>
      <c r="E22" s="12" t="s">
        <v>68</v>
      </c>
      <c r="F22" s="11" t="s">
        <v>41</v>
      </c>
      <c r="G22" s="15" t="s">
        <v>79</v>
      </c>
      <c r="H22" s="16">
        <v>1</v>
      </c>
      <c r="I22" s="16" t="s">
        <v>154</v>
      </c>
      <c r="J22" s="34" t="s">
        <v>219</v>
      </c>
      <c r="K22" s="18" t="s">
        <v>69</v>
      </c>
      <c r="L22" s="19" t="s">
        <v>70</v>
      </c>
    </row>
    <row r="23" spans="1:12" ht="98" x14ac:dyDescent="0.2">
      <c r="A23" s="20" t="s">
        <v>81</v>
      </c>
      <c r="B23" s="21" t="s">
        <v>82</v>
      </c>
      <c r="C23" s="22" t="s">
        <v>83</v>
      </c>
      <c r="D23" s="23" t="s">
        <v>39</v>
      </c>
      <c r="E23" s="21" t="s">
        <v>40</v>
      </c>
      <c r="F23" s="20" t="s">
        <v>41</v>
      </c>
      <c r="G23" s="24" t="s">
        <v>84</v>
      </c>
      <c r="H23" s="16">
        <v>0</v>
      </c>
      <c r="I23" s="16" t="s">
        <v>156</v>
      </c>
      <c r="J23" s="17" t="s">
        <v>181</v>
      </c>
      <c r="K23" s="25" t="s">
        <v>43</v>
      </c>
      <c r="L23" s="26" t="s">
        <v>44</v>
      </c>
    </row>
    <row r="24" spans="1:12" ht="70" x14ac:dyDescent="0.2">
      <c r="A24" s="20" t="s">
        <v>81</v>
      </c>
      <c r="B24" s="21" t="s">
        <v>82</v>
      </c>
      <c r="C24" s="22" t="s">
        <v>83</v>
      </c>
      <c r="D24" s="23" t="s">
        <v>45</v>
      </c>
      <c r="E24" s="21" t="s">
        <v>46</v>
      </c>
      <c r="F24" s="20" t="s">
        <v>41</v>
      </c>
      <c r="G24" s="24" t="s">
        <v>84</v>
      </c>
      <c r="H24" s="16">
        <v>0</v>
      </c>
      <c r="I24" s="16" t="s">
        <v>146</v>
      </c>
      <c r="J24" s="17" t="s">
        <v>182</v>
      </c>
      <c r="K24" s="25" t="s">
        <v>47</v>
      </c>
      <c r="L24" s="26" t="s">
        <v>48</v>
      </c>
    </row>
    <row r="25" spans="1:12" ht="98" x14ac:dyDescent="0.2">
      <c r="A25" s="20" t="s">
        <v>81</v>
      </c>
      <c r="B25" s="21" t="s">
        <v>82</v>
      </c>
      <c r="C25" s="22" t="s">
        <v>83</v>
      </c>
      <c r="D25" s="23" t="s">
        <v>49</v>
      </c>
      <c r="E25" s="21" t="s">
        <v>50</v>
      </c>
      <c r="F25" s="20" t="s">
        <v>41</v>
      </c>
      <c r="G25" s="24" t="s">
        <v>84</v>
      </c>
      <c r="H25" s="16">
        <v>3</v>
      </c>
      <c r="I25" s="16" t="s">
        <v>150</v>
      </c>
      <c r="J25" s="17" t="s">
        <v>183</v>
      </c>
      <c r="K25" s="25" t="s">
        <v>51</v>
      </c>
      <c r="L25" s="26" t="s">
        <v>52</v>
      </c>
    </row>
    <row r="26" spans="1:12" ht="98" x14ac:dyDescent="0.2">
      <c r="A26" s="20" t="s">
        <v>81</v>
      </c>
      <c r="B26" s="21" t="s">
        <v>82</v>
      </c>
      <c r="C26" s="22" t="s">
        <v>83</v>
      </c>
      <c r="D26" s="23" t="s">
        <v>53</v>
      </c>
      <c r="E26" s="21" t="s">
        <v>54</v>
      </c>
      <c r="F26" s="20" t="s">
        <v>55</v>
      </c>
      <c r="G26" s="24" t="s">
        <v>85</v>
      </c>
      <c r="H26" s="16">
        <v>3</v>
      </c>
      <c r="I26" s="16" t="s">
        <v>150</v>
      </c>
      <c r="J26" s="17" t="s">
        <v>163</v>
      </c>
      <c r="K26" s="25" t="s">
        <v>57</v>
      </c>
      <c r="L26" s="26" t="s">
        <v>58</v>
      </c>
    </row>
    <row r="27" spans="1:12" ht="84" x14ac:dyDescent="0.2">
      <c r="A27" s="20" t="s">
        <v>81</v>
      </c>
      <c r="B27" s="21" t="s">
        <v>82</v>
      </c>
      <c r="C27" s="22" t="s">
        <v>83</v>
      </c>
      <c r="D27" s="23" t="s">
        <v>59</v>
      </c>
      <c r="E27" s="21" t="s">
        <v>60</v>
      </c>
      <c r="F27" s="20" t="s">
        <v>41</v>
      </c>
      <c r="G27" s="24" t="s">
        <v>84</v>
      </c>
      <c r="H27" s="16">
        <v>0</v>
      </c>
      <c r="I27" s="16" t="s">
        <v>149</v>
      </c>
      <c r="J27" s="17" t="s">
        <v>184</v>
      </c>
      <c r="K27" s="25" t="s">
        <v>61</v>
      </c>
      <c r="L27" s="26" t="s">
        <v>62</v>
      </c>
    </row>
    <row r="28" spans="1:12" ht="84" x14ac:dyDescent="0.2">
      <c r="A28" s="20" t="s">
        <v>81</v>
      </c>
      <c r="B28" s="21" t="s">
        <v>82</v>
      </c>
      <c r="C28" s="22" t="s">
        <v>83</v>
      </c>
      <c r="D28" s="23" t="s">
        <v>63</v>
      </c>
      <c r="E28" s="21" t="s">
        <v>64</v>
      </c>
      <c r="F28" s="20" t="s">
        <v>41</v>
      </c>
      <c r="G28" s="24" t="s">
        <v>84</v>
      </c>
      <c r="H28" s="16">
        <v>2</v>
      </c>
      <c r="I28" s="16" t="s">
        <v>157</v>
      </c>
      <c r="J28" s="17" t="s">
        <v>185</v>
      </c>
      <c r="K28" s="25" t="s">
        <v>65</v>
      </c>
      <c r="L28" s="26" t="s">
        <v>66</v>
      </c>
    </row>
    <row r="29" spans="1:12" ht="70" x14ac:dyDescent="0.2">
      <c r="A29" s="20" t="s">
        <v>81</v>
      </c>
      <c r="B29" s="21" t="s">
        <v>82</v>
      </c>
      <c r="C29" s="22" t="s">
        <v>83</v>
      </c>
      <c r="D29" s="23" t="s">
        <v>67</v>
      </c>
      <c r="E29" s="21" t="s">
        <v>68</v>
      </c>
      <c r="F29" s="20" t="s">
        <v>41</v>
      </c>
      <c r="G29" s="24" t="s">
        <v>84</v>
      </c>
      <c r="H29" s="16">
        <v>1</v>
      </c>
      <c r="I29" s="16" t="s">
        <v>154</v>
      </c>
      <c r="J29" s="34" t="s">
        <v>220</v>
      </c>
      <c r="K29" s="25" t="s">
        <v>69</v>
      </c>
      <c r="L29" s="26" t="s">
        <v>70</v>
      </c>
    </row>
    <row r="30" spans="1:12" ht="84" x14ac:dyDescent="0.2">
      <c r="A30" s="11" t="s">
        <v>86</v>
      </c>
      <c r="B30" s="12" t="s">
        <v>87</v>
      </c>
      <c r="C30" s="13" t="s">
        <v>88</v>
      </c>
      <c r="D30" s="14" t="s">
        <v>39</v>
      </c>
      <c r="E30" s="12" t="s">
        <v>40</v>
      </c>
      <c r="F30" s="11" t="s">
        <v>41</v>
      </c>
      <c r="G30" s="15" t="s">
        <v>89</v>
      </c>
      <c r="H30" s="16">
        <v>3</v>
      </c>
      <c r="I30" s="16" t="s">
        <v>150</v>
      </c>
      <c r="J30" s="17" t="s">
        <v>186</v>
      </c>
      <c r="K30" s="18" t="s">
        <v>43</v>
      </c>
      <c r="L30" s="19" t="s">
        <v>44</v>
      </c>
    </row>
    <row r="31" spans="1:12" ht="98" x14ac:dyDescent="0.2">
      <c r="A31" s="11" t="s">
        <v>86</v>
      </c>
      <c r="B31" s="12" t="s">
        <v>87</v>
      </c>
      <c r="C31" s="13" t="s">
        <v>88</v>
      </c>
      <c r="D31" s="14" t="s">
        <v>45</v>
      </c>
      <c r="E31" s="12" t="s">
        <v>46</v>
      </c>
      <c r="F31" s="11" t="s">
        <v>41</v>
      </c>
      <c r="G31" s="15" t="s">
        <v>89</v>
      </c>
      <c r="H31" s="16">
        <v>3</v>
      </c>
      <c r="I31" s="16" t="s">
        <v>150</v>
      </c>
      <c r="J31" s="17" t="s">
        <v>187</v>
      </c>
      <c r="K31" s="18" t="s">
        <v>47</v>
      </c>
      <c r="L31" s="19" t="s">
        <v>48</v>
      </c>
    </row>
    <row r="32" spans="1:12" ht="84" x14ac:dyDescent="0.2">
      <c r="A32" s="11" t="s">
        <v>86</v>
      </c>
      <c r="B32" s="12" t="s">
        <v>87</v>
      </c>
      <c r="C32" s="13" t="s">
        <v>88</v>
      </c>
      <c r="D32" s="14" t="s">
        <v>49</v>
      </c>
      <c r="E32" s="12" t="s">
        <v>50</v>
      </c>
      <c r="F32" s="11" t="s">
        <v>41</v>
      </c>
      <c r="G32" s="15" t="s">
        <v>89</v>
      </c>
      <c r="H32" s="16">
        <v>3</v>
      </c>
      <c r="I32" s="16" t="s">
        <v>150</v>
      </c>
      <c r="J32" s="17" t="s">
        <v>188</v>
      </c>
      <c r="K32" s="18" t="s">
        <v>51</v>
      </c>
      <c r="L32" s="19" t="s">
        <v>52</v>
      </c>
    </row>
    <row r="33" spans="1:12" ht="98" x14ac:dyDescent="0.2">
      <c r="A33" s="11" t="s">
        <v>86</v>
      </c>
      <c r="B33" s="12" t="s">
        <v>87</v>
      </c>
      <c r="C33" s="13" t="s">
        <v>88</v>
      </c>
      <c r="D33" s="14" t="s">
        <v>53</v>
      </c>
      <c r="E33" s="12" t="s">
        <v>54</v>
      </c>
      <c r="F33" s="11" t="s">
        <v>55</v>
      </c>
      <c r="G33" s="15" t="s">
        <v>90</v>
      </c>
      <c r="H33" s="16">
        <v>4</v>
      </c>
      <c r="I33" s="16" t="s">
        <v>150</v>
      </c>
      <c r="J33" s="17" t="s">
        <v>164</v>
      </c>
      <c r="K33" s="18" t="s">
        <v>57</v>
      </c>
      <c r="L33" s="19" t="s">
        <v>58</v>
      </c>
    </row>
    <row r="34" spans="1:12" ht="84" x14ac:dyDescent="0.2">
      <c r="A34" s="11" t="s">
        <v>86</v>
      </c>
      <c r="B34" s="12" t="s">
        <v>87</v>
      </c>
      <c r="C34" s="13" t="s">
        <v>88</v>
      </c>
      <c r="D34" s="14" t="s">
        <v>59</v>
      </c>
      <c r="E34" s="12" t="s">
        <v>60</v>
      </c>
      <c r="F34" s="11" t="s">
        <v>41</v>
      </c>
      <c r="G34" s="15" t="s">
        <v>89</v>
      </c>
      <c r="H34" s="16">
        <v>3</v>
      </c>
      <c r="I34" s="16" t="s">
        <v>153</v>
      </c>
      <c r="J34" s="17" t="s">
        <v>189</v>
      </c>
      <c r="K34" s="18" t="s">
        <v>61</v>
      </c>
      <c r="L34" s="19" t="s">
        <v>62</v>
      </c>
    </row>
    <row r="35" spans="1:12" ht="84" x14ac:dyDescent="0.2">
      <c r="A35" s="11" t="s">
        <v>86</v>
      </c>
      <c r="B35" s="12" t="s">
        <v>87</v>
      </c>
      <c r="C35" s="13" t="s">
        <v>88</v>
      </c>
      <c r="D35" s="14" t="s">
        <v>63</v>
      </c>
      <c r="E35" s="12" t="s">
        <v>64</v>
      </c>
      <c r="F35" s="11" t="s">
        <v>41</v>
      </c>
      <c r="G35" s="15" t="s">
        <v>89</v>
      </c>
      <c r="H35" s="16">
        <v>3</v>
      </c>
      <c r="I35" s="16" t="s">
        <v>150</v>
      </c>
      <c r="J35" s="17" t="s">
        <v>190</v>
      </c>
      <c r="K35" s="18" t="s">
        <v>65</v>
      </c>
      <c r="L35" s="19" t="s">
        <v>66</v>
      </c>
    </row>
    <row r="36" spans="1:12" ht="98" x14ac:dyDescent="0.2">
      <c r="A36" s="11" t="s">
        <v>86</v>
      </c>
      <c r="B36" s="12" t="s">
        <v>87</v>
      </c>
      <c r="C36" s="13" t="s">
        <v>88</v>
      </c>
      <c r="D36" s="14" t="s">
        <v>67</v>
      </c>
      <c r="E36" s="12" t="s">
        <v>68</v>
      </c>
      <c r="F36" s="11" t="s">
        <v>41</v>
      </c>
      <c r="G36" s="15" t="s">
        <v>89</v>
      </c>
      <c r="H36" s="16">
        <v>0</v>
      </c>
      <c r="I36" s="16" t="s">
        <v>158</v>
      </c>
      <c r="J36" s="17" t="s">
        <v>224</v>
      </c>
      <c r="K36" s="18" t="s">
        <v>69</v>
      </c>
      <c r="L36" s="19" t="s">
        <v>70</v>
      </c>
    </row>
    <row r="37" spans="1:12" ht="84" x14ac:dyDescent="0.2">
      <c r="A37" s="20" t="s">
        <v>91</v>
      </c>
      <c r="B37" s="21" t="s">
        <v>92</v>
      </c>
      <c r="C37" s="22" t="s">
        <v>93</v>
      </c>
      <c r="D37" s="23" t="s">
        <v>39</v>
      </c>
      <c r="E37" s="21" t="s">
        <v>40</v>
      </c>
      <c r="F37" s="20" t="s">
        <v>41</v>
      </c>
      <c r="G37" s="24" t="s">
        <v>94</v>
      </c>
      <c r="H37" s="16">
        <v>2</v>
      </c>
      <c r="I37" s="16" t="s">
        <v>159</v>
      </c>
      <c r="J37" s="17" t="s">
        <v>191</v>
      </c>
      <c r="K37" s="25" t="s">
        <v>43</v>
      </c>
      <c r="L37" s="26" t="s">
        <v>44</v>
      </c>
    </row>
    <row r="38" spans="1:12" ht="84" x14ac:dyDescent="0.2">
      <c r="A38" s="20" t="s">
        <v>91</v>
      </c>
      <c r="B38" s="21" t="s">
        <v>92</v>
      </c>
      <c r="C38" s="22" t="s">
        <v>93</v>
      </c>
      <c r="D38" s="23" t="s">
        <v>45</v>
      </c>
      <c r="E38" s="21" t="s">
        <v>46</v>
      </c>
      <c r="F38" s="20" t="s">
        <v>41</v>
      </c>
      <c r="G38" s="24" t="s">
        <v>94</v>
      </c>
      <c r="H38" s="16">
        <v>0</v>
      </c>
      <c r="I38" s="16" t="s">
        <v>146</v>
      </c>
      <c r="J38" s="17" t="s">
        <v>192</v>
      </c>
      <c r="K38" s="25" t="s">
        <v>47</v>
      </c>
      <c r="L38" s="26" t="s">
        <v>48</v>
      </c>
    </row>
    <row r="39" spans="1:12" ht="84" x14ac:dyDescent="0.2">
      <c r="A39" s="20" t="s">
        <v>91</v>
      </c>
      <c r="B39" s="21" t="s">
        <v>92</v>
      </c>
      <c r="C39" s="22" t="s">
        <v>93</v>
      </c>
      <c r="D39" s="23" t="s">
        <v>49</v>
      </c>
      <c r="E39" s="21" t="s">
        <v>50</v>
      </c>
      <c r="F39" s="20" t="s">
        <v>41</v>
      </c>
      <c r="G39" s="24" t="s">
        <v>94</v>
      </c>
      <c r="H39" s="16">
        <v>2</v>
      </c>
      <c r="I39" s="16" t="s">
        <v>147</v>
      </c>
      <c r="J39" s="34" t="s">
        <v>221</v>
      </c>
      <c r="K39" s="25" t="s">
        <v>51</v>
      </c>
      <c r="L39" s="26" t="s">
        <v>52</v>
      </c>
    </row>
    <row r="40" spans="1:12" ht="70" x14ac:dyDescent="0.2">
      <c r="A40" s="20" t="s">
        <v>91</v>
      </c>
      <c r="B40" s="21" t="s">
        <v>92</v>
      </c>
      <c r="C40" s="22" t="s">
        <v>93</v>
      </c>
      <c r="D40" s="23" t="s">
        <v>53</v>
      </c>
      <c r="E40" s="21" t="s">
        <v>54</v>
      </c>
      <c r="F40" s="20" t="s">
        <v>55</v>
      </c>
      <c r="G40" s="24" t="s">
        <v>95</v>
      </c>
      <c r="H40" s="16">
        <v>0</v>
      </c>
      <c r="I40" s="16" t="s">
        <v>148</v>
      </c>
      <c r="J40" s="34" t="s">
        <v>222</v>
      </c>
      <c r="K40" s="25" t="s">
        <v>57</v>
      </c>
      <c r="L40" s="26" t="s">
        <v>58</v>
      </c>
    </row>
    <row r="41" spans="1:12" ht="84" x14ac:dyDescent="0.2">
      <c r="A41" s="20" t="s">
        <v>91</v>
      </c>
      <c r="B41" s="21" t="s">
        <v>92</v>
      </c>
      <c r="C41" s="22" t="s">
        <v>93</v>
      </c>
      <c r="D41" s="23" t="s">
        <v>59</v>
      </c>
      <c r="E41" s="21" t="s">
        <v>60</v>
      </c>
      <c r="F41" s="20" t="s">
        <v>41</v>
      </c>
      <c r="G41" s="24" t="s">
        <v>94</v>
      </c>
      <c r="H41" s="16">
        <v>0</v>
      </c>
      <c r="I41" s="16" t="s">
        <v>149</v>
      </c>
      <c r="J41" s="17" t="s">
        <v>193</v>
      </c>
      <c r="K41" s="25" t="s">
        <v>61</v>
      </c>
      <c r="L41" s="26" t="s">
        <v>62</v>
      </c>
    </row>
    <row r="42" spans="1:12" ht="84" x14ac:dyDescent="0.2">
      <c r="A42" s="20" t="s">
        <v>91</v>
      </c>
      <c r="B42" s="21" t="s">
        <v>92</v>
      </c>
      <c r="C42" s="22" t="s">
        <v>93</v>
      </c>
      <c r="D42" s="23" t="s">
        <v>63</v>
      </c>
      <c r="E42" s="21" t="s">
        <v>64</v>
      </c>
      <c r="F42" s="20" t="s">
        <v>41</v>
      </c>
      <c r="G42" s="24" t="s">
        <v>94</v>
      </c>
      <c r="H42" s="16">
        <v>3</v>
      </c>
      <c r="I42" s="16" t="s">
        <v>150</v>
      </c>
      <c r="J42" s="17" t="s">
        <v>194</v>
      </c>
      <c r="K42" s="25" t="s">
        <v>65</v>
      </c>
      <c r="L42" s="26" t="s">
        <v>66</v>
      </c>
    </row>
    <row r="43" spans="1:12" ht="70" x14ac:dyDescent="0.2">
      <c r="A43" s="20" t="s">
        <v>91</v>
      </c>
      <c r="B43" s="21" t="s">
        <v>92</v>
      </c>
      <c r="C43" s="22" t="s">
        <v>93</v>
      </c>
      <c r="D43" s="23" t="s">
        <v>67</v>
      </c>
      <c r="E43" s="21" t="s">
        <v>68</v>
      </c>
      <c r="F43" s="20" t="s">
        <v>41</v>
      </c>
      <c r="G43" s="24" t="s">
        <v>94</v>
      </c>
      <c r="H43" s="16">
        <v>1</v>
      </c>
      <c r="I43" s="16" t="s">
        <v>154</v>
      </c>
      <c r="J43" s="34" t="s">
        <v>223</v>
      </c>
      <c r="K43" s="25" t="s">
        <v>69</v>
      </c>
      <c r="L43" s="26" t="s">
        <v>70</v>
      </c>
    </row>
    <row r="44" spans="1:12" ht="98" x14ac:dyDescent="0.2">
      <c r="A44" s="11" t="s">
        <v>96</v>
      </c>
      <c r="B44" s="12" t="s">
        <v>97</v>
      </c>
      <c r="C44" s="13" t="s">
        <v>98</v>
      </c>
      <c r="D44" s="14" t="s">
        <v>39</v>
      </c>
      <c r="E44" s="12" t="s">
        <v>40</v>
      </c>
      <c r="F44" s="11" t="s">
        <v>41</v>
      </c>
      <c r="G44" s="15" t="s">
        <v>99</v>
      </c>
      <c r="H44" s="16">
        <v>0</v>
      </c>
      <c r="I44" s="16" t="s">
        <v>159</v>
      </c>
      <c r="J44" s="17" t="s">
        <v>195</v>
      </c>
      <c r="K44" s="18" t="s">
        <v>43</v>
      </c>
      <c r="L44" s="19" t="s">
        <v>44</v>
      </c>
    </row>
    <row r="45" spans="1:12" ht="84" x14ac:dyDescent="0.2">
      <c r="A45" s="11" t="s">
        <v>96</v>
      </c>
      <c r="B45" s="12" t="s">
        <v>97</v>
      </c>
      <c r="C45" s="13" t="s">
        <v>98</v>
      </c>
      <c r="D45" s="14" t="s">
        <v>45</v>
      </c>
      <c r="E45" s="12" t="s">
        <v>46</v>
      </c>
      <c r="F45" s="11" t="s">
        <v>41</v>
      </c>
      <c r="G45" s="15" t="s">
        <v>99</v>
      </c>
      <c r="H45" s="16">
        <v>0</v>
      </c>
      <c r="I45" s="16" t="s">
        <v>146</v>
      </c>
      <c r="J45" s="17" t="s">
        <v>196</v>
      </c>
      <c r="K45" s="18" t="s">
        <v>47</v>
      </c>
      <c r="L45" s="19" t="s">
        <v>48</v>
      </c>
    </row>
    <row r="46" spans="1:12" ht="98" x14ac:dyDescent="0.2">
      <c r="A46" s="11" t="s">
        <v>96</v>
      </c>
      <c r="B46" s="12" t="s">
        <v>97</v>
      </c>
      <c r="C46" s="13" t="s">
        <v>98</v>
      </c>
      <c r="D46" s="14" t="s">
        <v>49</v>
      </c>
      <c r="E46" s="12" t="s">
        <v>50</v>
      </c>
      <c r="F46" s="11" t="s">
        <v>41</v>
      </c>
      <c r="G46" s="15" t="s">
        <v>99</v>
      </c>
      <c r="H46" s="16">
        <v>3</v>
      </c>
      <c r="I46" s="16" t="s">
        <v>150</v>
      </c>
      <c r="J46" s="17" t="s">
        <v>197</v>
      </c>
      <c r="K46" s="18" t="s">
        <v>51</v>
      </c>
      <c r="L46" s="19" t="s">
        <v>52</v>
      </c>
    </row>
    <row r="47" spans="1:12" ht="84" x14ac:dyDescent="0.2">
      <c r="A47" s="11" t="s">
        <v>96</v>
      </c>
      <c r="B47" s="12" t="s">
        <v>97</v>
      </c>
      <c r="C47" s="13" t="s">
        <v>98</v>
      </c>
      <c r="D47" s="14" t="s">
        <v>53</v>
      </c>
      <c r="E47" s="12" t="s">
        <v>54</v>
      </c>
      <c r="F47" s="11" t="s">
        <v>55</v>
      </c>
      <c r="G47" s="15" t="s">
        <v>100</v>
      </c>
      <c r="H47" s="16">
        <v>4</v>
      </c>
      <c r="I47" s="16" t="s">
        <v>150</v>
      </c>
      <c r="J47" s="17" t="s">
        <v>165</v>
      </c>
      <c r="K47" s="18" t="s">
        <v>57</v>
      </c>
      <c r="L47" s="19" t="s">
        <v>58</v>
      </c>
    </row>
    <row r="48" spans="1:12" ht="84" x14ac:dyDescent="0.2">
      <c r="A48" s="11" t="s">
        <v>96</v>
      </c>
      <c r="B48" s="12" t="s">
        <v>97</v>
      </c>
      <c r="C48" s="13" t="s">
        <v>98</v>
      </c>
      <c r="D48" s="14" t="s">
        <v>59</v>
      </c>
      <c r="E48" s="12" t="s">
        <v>60</v>
      </c>
      <c r="F48" s="11" t="s">
        <v>41</v>
      </c>
      <c r="G48" s="15" t="s">
        <v>99</v>
      </c>
      <c r="H48" s="16">
        <v>1</v>
      </c>
      <c r="I48" s="16" t="s">
        <v>149</v>
      </c>
      <c r="J48" s="17" t="s">
        <v>198</v>
      </c>
      <c r="K48" s="18" t="s">
        <v>61</v>
      </c>
      <c r="L48" s="19" t="s">
        <v>62</v>
      </c>
    </row>
    <row r="49" spans="1:12" ht="84" x14ac:dyDescent="0.2">
      <c r="A49" s="11" t="s">
        <v>96</v>
      </c>
      <c r="B49" s="12" t="s">
        <v>97</v>
      </c>
      <c r="C49" s="13" t="s">
        <v>98</v>
      </c>
      <c r="D49" s="14" t="s">
        <v>63</v>
      </c>
      <c r="E49" s="12" t="s">
        <v>64</v>
      </c>
      <c r="F49" s="11" t="s">
        <v>41</v>
      </c>
      <c r="G49" s="15" t="s">
        <v>99</v>
      </c>
      <c r="H49" s="16">
        <v>3</v>
      </c>
      <c r="I49" s="16" t="s">
        <v>150</v>
      </c>
      <c r="J49" s="17" t="s">
        <v>199</v>
      </c>
      <c r="K49" s="18" t="s">
        <v>65</v>
      </c>
      <c r="L49" s="19" t="s">
        <v>66</v>
      </c>
    </row>
    <row r="50" spans="1:12" ht="98" x14ac:dyDescent="0.2">
      <c r="A50" s="11" t="s">
        <v>96</v>
      </c>
      <c r="B50" s="12" t="s">
        <v>97</v>
      </c>
      <c r="C50" s="13" t="s">
        <v>98</v>
      </c>
      <c r="D50" s="14" t="s">
        <v>67</v>
      </c>
      <c r="E50" s="12" t="s">
        <v>68</v>
      </c>
      <c r="F50" s="11" t="s">
        <v>41</v>
      </c>
      <c r="G50" s="15" t="s">
        <v>99</v>
      </c>
      <c r="H50" s="16">
        <v>0</v>
      </c>
      <c r="I50" s="16" t="s">
        <v>158</v>
      </c>
      <c r="J50" s="34" t="s">
        <v>225</v>
      </c>
      <c r="K50" s="18" t="s">
        <v>69</v>
      </c>
      <c r="L50" s="19" t="s">
        <v>70</v>
      </c>
    </row>
    <row r="51" spans="1:12" ht="84" x14ac:dyDescent="0.2">
      <c r="A51" s="20" t="s">
        <v>101</v>
      </c>
      <c r="B51" s="21" t="s">
        <v>102</v>
      </c>
      <c r="C51" s="22" t="s">
        <v>103</v>
      </c>
      <c r="D51" s="23" t="s">
        <v>39</v>
      </c>
      <c r="E51" s="21" t="s">
        <v>40</v>
      </c>
      <c r="F51" s="20" t="s">
        <v>41</v>
      </c>
      <c r="G51" s="24" t="s">
        <v>104</v>
      </c>
      <c r="H51" s="16">
        <v>1</v>
      </c>
      <c r="I51" s="16" t="s">
        <v>159</v>
      </c>
      <c r="J51" s="17" t="s">
        <v>200</v>
      </c>
      <c r="K51" s="25" t="s">
        <v>43</v>
      </c>
      <c r="L51" s="26" t="s">
        <v>44</v>
      </c>
    </row>
    <row r="52" spans="1:12" ht="84" x14ac:dyDescent="0.2">
      <c r="A52" s="20" t="s">
        <v>101</v>
      </c>
      <c r="B52" s="21" t="s">
        <v>102</v>
      </c>
      <c r="C52" s="22" t="s">
        <v>103</v>
      </c>
      <c r="D52" s="23" t="s">
        <v>45</v>
      </c>
      <c r="E52" s="21" t="s">
        <v>46</v>
      </c>
      <c r="F52" s="20" t="s">
        <v>41</v>
      </c>
      <c r="G52" s="24" t="s">
        <v>104</v>
      </c>
      <c r="H52" s="16">
        <v>3</v>
      </c>
      <c r="I52" s="16" t="s">
        <v>150</v>
      </c>
      <c r="J52" s="17" t="s">
        <v>201</v>
      </c>
      <c r="K52" s="25" t="s">
        <v>47</v>
      </c>
      <c r="L52" s="26" t="s">
        <v>48</v>
      </c>
    </row>
    <row r="53" spans="1:12" ht="98" x14ac:dyDescent="0.2">
      <c r="A53" s="20" t="s">
        <v>101</v>
      </c>
      <c r="B53" s="21" t="s">
        <v>102</v>
      </c>
      <c r="C53" s="22" t="s">
        <v>103</v>
      </c>
      <c r="D53" s="23" t="s">
        <v>49</v>
      </c>
      <c r="E53" s="21" t="s">
        <v>50</v>
      </c>
      <c r="F53" s="20" t="s">
        <v>41</v>
      </c>
      <c r="G53" s="24" t="s">
        <v>104</v>
      </c>
      <c r="H53" s="16">
        <v>3</v>
      </c>
      <c r="I53" s="16" t="s">
        <v>150</v>
      </c>
      <c r="J53" s="17" t="s">
        <v>202</v>
      </c>
      <c r="K53" s="25" t="s">
        <v>51</v>
      </c>
      <c r="L53" s="26" t="s">
        <v>52</v>
      </c>
    </row>
    <row r="54" spans="1:12" ht="84" x14ac:dyDescent="0.2">
      <c r="A54" s="20" t="s">
        <v>101</v>
      </c>
      <c r="B54" s="21" t="s">
        <v>102</v>
      </c>
      <c r="C54" s="22" t="s">
        <v>103</v>
      </c>
      <c r="D54" s="23" t="s">
        <v>53</v>
      </c>
      <c r="E54" s="21" t="s">
        <v>54</v>
      </c>
      <c r="F54" s="20" t="s">
        <v>55</v>
      </c>
      <c r="G54" s="24" t="s">
        <v>105</v>
      </c>
      <c r="H54" s="16">
        <v>0</v>
      </c>
      <c r="I54" s="16" t="s">
        <v>148</v>
      </c>
      <c r="J54" s="34" t="s">
        <v>228</v>
      </c>
      <c r="K54" s="25" t="s">
        <v>57</v>
      </c>
      <c r="L54" s="26" t="s">
        <v>58</v>
      </c>
    </row>
    <row r="55" spans="1:12" ht="84" x14ac:dyDescent="0.2">
      <c r="A55" s="20" t="s">
        <v>101</v>
      </c>
      <c r="B55" s="21" t="s">
        <v>102</v>
      </c>
      <c r="C55" s="22" t="s">
        <v>103</v>
      </c>
      <c r="D55" s="23" t="s">
        <v>59</v>
      </c>
      <c r="E55" s="21" t="s">
        <v>60</v>
      </c>
      <c r="F55" s="20" t="s">
        <v>41</v>
      </c>
      <c r="G55" s="24" t="s">
        <v>104</v>
      </c>
      <c r="H55" s="16">
        <v>0</v>
      </c>
      <c r="I55" s="16" t="s">
        <v>149</v>
      </c>
      <c r="J55" s="17" t="s">
        <v>203</v>
      </c>
      <c r="K55" s="25" t="s">
        <v>61</v>
      </c>
      <c r="L55" s="26" t="s">
        <v>62</v>
      </c>
    </row>
    <row r="56" spans="1:12" ht="84" x14ac:dyDescent="0.2">
      <c r="A56" s="20" t="s">
        <v>101</v>
      </c>
      <c r="B56" s="21" t="s">
        <v>102</v>
      </c>
      <c r="C56" s="22" t="s">
        <v>103</v>
      </c>
      <c r="D56" s="23" t="s">
        <v>63</v>
      </c>
      <c r="E56" s="21" t="s">
        <v>64</v>
      </c>
      <c r="F56" s="20" t="s">
        <v>41</v>
      </c>
      <c r="G56" s="24" t="s">
        <v>104</v>
      </c>
      <c r="H56" s="16">
        <v>2</v>
      </c>
      <c r="I56" s="16" t="s">
        <v>157</v>
      </c>
      <c r="J56" s="17" t="s">
        <v>204</v>
      </c>
      <c r="K56" s="25" t="s">
        <v>65</v>
      </c>
      <c r="L56" s="26" t="s">
        <v>66</v>
      </c>
    </row>
    <row r="57" spans="1:12" ht="112" x14ac:dyDescent="0.2">
      <c r="A57" s="20" t="s">
        <v>101</v>
      </c>
      <c r="B57" s="21" t="s">
        <v>102</v>
      </c>
      <c r="C57" s="22" t="s">
        <v>103</v>
      </c>
      <c r="D57" s="23" t="s">
        <v>67</v>
      </c>
      <c r="E57" s="21" t="s">
        <v>68</v>
      </c>
      <c r="F57" s="20" t="s">
        <v>41</v>
      </c>
      <c r="G57" s="24" t="s">
        <v>104</v>
      </c>
      <c r="H57" s="16">
        <v>3</v>
      </c>
      <c r="I57" s="16" t="s">
        <v>150</v>
      </c>
      <c r="J57" s="17" t="s">
        <v>226</v>
      </c>
      <c r="K57" s="25" t="s">
        <v>69</v>
      </c>
      <c r="L57" s="26" t="s">
        <v>70</v>
      </c>
    </row>
    <row r="58" spans="1:12" ht="84" x14ac:dyDescent="0.2">
      <c r="A58" s="11" t="s">
        <v>106</v>
      </c>
      <c r="B58" s="12" t="s">
        <v>107</v>
      </c>
      <c r="C58" s="13" t="s">
        <v>108</v>
      </c>
      <c r="D58" s="14" t="s">
        <v>39</v>
      </c>
      <c r="E58" s="12" t="s">
        <v>40</v>
      </c>
      <c r="F58" s="11" t="s">
        <v>41</v>
      </c>
      <c r="G58" s="15" t="s">
        <v>109</v>
      </c>
      <c r="H58" s="16">
        <v>2</v>
      </c>
      <c r="I58" s="16" t="s">
        <v>145</v>
      </c>
      <c r="J58" s="17" t="s">
        <v>205</v>
      </c>
      <c r="K58" s="18" t="s">
        <v>43</v>
      </c>
      <c r="L58" s="19" t="s">
        <v>44</v>
      </c>
    </row>
    <row r="59" spans="1:12" ht="84" x14ac:dyDescent="0.2">
      <c r="A59" s="11" t="s">
        <v>106</v>
      </c>
      <c r="B59" s="12" t="s">
        <v>107</v>
      </c>
      <c r="C59" s="13" t="s">
        <v>108</v>
      </c>
      <c r="D59" s="14" t="s">
        <v>45</v>
      </c>
      <c r="E59" s="12" t="s">
        <v>46</v>
      </c>
      <c r="F59" s="11" t="s">
        <v>41</v>
      </c>
      <c r="G59" s="15" t="s">
        <v>109</v>
      </c>
      <c r="H59" s="16">
        <v>0</v>
      </c>
      <c r="I59" s="16" t="s">
        <v>146</v>
      </c>
      <c r="J59" s="17" t="s">
        <v>206</v>
      </c>
      <c r="K59" s="18" t="s">
        <v>47</v>
      </c>
      <c r="L59" s="19" t="s">
        <v>48</v>
      </c>
    </row>
    <row r="60" spans="1:12" ht="84" x14ac:dyDescent="0.2">
      <c r="A60" s="11" t="s">
        <v>106</v>
      </c>
      <c r="B60" s="12" t="s">
        <v>107</v>
      </c>
      <c r="C60" s="13" t="s">
        <v>108</v>
      </c>
      <c r="D60" s="14" t="s">
        <v>49</v>
      </c>
      <c r="E60" s="12" t="s">
        <v>50</v>
      </c>
      <c r="F60" s="11" t="s">
        <v>41</v>
      </c>
      <c r="G60" s="15" t="s">
        <v>109</v>
      </c>
      <c r="H60" s="16">
        <v>3</v>
      </c>
      <c r="I60" s="16" t="s">
        <v>150</v>
      </c>
      <c r="J60" s="17" t="s">
        <v>207</v>
      </c>
      <c r="K60" s="18" t="s">
        <v>51</v>
      </c>
      <c r="L60" s="19" t="s">
        <v>52</v>
      </c>
    </row>
    <row r="61" spans="1:12" ht="98" x14ac:dyDescent="0.2">
      <c r="A61" s="11" t="s">
        <v>106</v>
      </c>
      <c r="B61" s="12" t="s">
        <v>107</v>
      </c>
      <c r="C61" s="13" t="s">
        <v>108</v>
      </c>
      <c r="D61" s="14" t="s">
        <v>53</v>
      </c>
      <c r="E61" s="12" t="s">
        <v>54</v>
      </c>
      <c r="F61" s="11" t="s">
        <v>55</v>
      </c>
      <c r="G61" s="15" t="s">
        <v>110</v>
      </c>
      <c r="H61" s="16">
        <v>3</v>
      </c>
      <c r="I61" s="16" t="s">
        <v>150</v>
      </c>
      <c r="J61" s="17" t="s">
        <v>166</v>
      </c>
      <c r="K61" s="18" t="s">
        <v>57</v>
      </c>
      <c r="L61" s="19" t="s">
        <v>58</v>
      </c>
    </row>
    <row r="62" spans="1:12" ht="84" x14ac:dyDescent="0.2">
      <c r="A62" s="11" t="s">
        <v>106</v>
      </c>
      <c r="B62" s="12" t="s">
        <v>107</v>
      </c>
      <c r="C62" s="13" t="s">
        <v>108</v>
      </c>
      <c r="D62" s="14" t="s">
        <v>59</v>
      </c>
      <c r="E62" s="12" t="s">
        <v>60</v>
      </c>
      <c r="F62" s="11" t="s">
        <v>41</v>
      </c>
      <c r="G62" s="15" t="s">
        <v>109</v>
      </c>
      <c r="H62" s="16">
        <v>0</v>
      </c>
      <c r="I62" s="16" t="s">
        <v>149</v>
      </c>
      <c r="J62" s="17" t="s">
        <v>208</v>
      </c>
      <c r="K62" s="18" t="s">
        <v>61</v>
      </c>
      <c r="L62" s="19" t="s">
        <v>62</v>
      </c>
    </row>
    <row r="63" spans="1:12" ht="98" x14ac:dyDescent="0.2">
      <c r="A63" s="11" t="s">
        <v>106</v>
      </c>
      <c r="B63" s="12" t="s">
        <v>107</v>
      </c>
      <c r="C63" s="13" t="s">
        <v>108</v>
      </c>
      <c r="D63" s="14" t="s">
        <v>63</v>
      </c>
      <c r="E63" s="12" t="s">
        <v>64</v>
      </c>
      <c r="F63" s="11" t="s">
        <v>41</v>
      </c>
      <c r="G63" s="15" t="s">
        <v>109</v>
      </c>
      <c r="H63" s="16">
        <v>3</v>
      </c>
      <c r="I63" s="16" t="s">
        <v>150</v>
      </c>
      <c r="J63" s="17" t="s">
        <v>209</v>
      </c>
      <c r="K63" s="18" t="s">
        <v>65</v>
      </c>
      <c r="L63" s="19" t="s">
        <v>66</v>
      </c>
    </row>
    <row r="64" spans="1:12" ht="70" x14ac:dyDescent="0.2">
      <c r="A64" s="11" t="s">
        <v>106</v>
      </c>
      <c r="B64" s="12" t="s">
        <v>107</v>
      </c>
      <c r="C64" s="13" t="s">
        <v>108</v>
      </c>
      <c r="D64" s="14" t="s">
        <v>67</v>
      </c>
      <c r="E64" s="12" t="s">
        <v>68</v>
      </c>
      <c r="F64" s="11" t="s">
        <v>41</v>
      </c>
      <c r="G64" s="15" t="s">
        <v>109</v>
      </c>
      <c r="H64" s="16">
        <v>1</v>
      </c>
      <c r="I64" s="16" t="s">
        <v>154</v>
      </c>
      <c r="J64" s="34" t="s">
        <v>229</v>
      </c>
      <c r="K64" s="18" t="s">
        <v>69</v>
      </c>
      <c r="L64" s="19" t="s">
        <v>70</v>
      </c>
    </row>
    <row r="65" spans="1:12" ht="84" x14ac:dyDescent="0.2">
      <c r="A65" s="20" t="s">
        <v>111</v>
      </c>
      <c r="B65" s="21" t="s">
        <v>112</v>
      </c>
      <c r="C65" s="22" t="s">
        <v>113</v>
      </c>
      <c r="D65" s="23" t="s">
        <v>39</v>
      </c>
      <c r="E65" s="21" t="s">
        <v>40</v>
      </c>
      <c r="F65" s="20" t="s">
        <v>41</v>
      </c>
      <c r="G65" s="24" t="s">
        <v>114</v>
      </c>
      <c r="H65" s="16">
        <v>2</v>
      </c>
      <c r="I65" s="16" t="s">
        <v>145</v>
      </c>
      <c r="J65" s="17" t="s">
        <v>210</v>
      </c>
      <c r="K65" s="25" t="s">
        <v>43</v>
      </c>
      <c r="L65" s="26" t="s">
        <v>44</v>
      </c>
    </row>
    <row r="66" spans="1:12" ht="84" x14ac:dyDescent="0.2">
      <c r="A66" s="20" t="s">
        <v>111</v>
      </c>
      <c r="B66" s="21" t="s">
        <v>112</v>
      </c>
      <c r="C66" s="22" t="s">
        <v>113</v>
      </c>
      <c r="D66" s="23" t="s">
        <v>45</v>
      </c>
      <c r="E66" s="21" t="s">
        <v>46</v>
      </c>
      <c r="F66" s="20" t="s">
        <v>41</v>
      </c>
      <c r="G66" s="24" t="s">
        <v>114</v>
      </c>
      <c r="H66" s="16">
        <v>0</v>
      </c>
      <c r="I66" s="16" t="s">
        <v>146</v>
      </c>
      <c r="J66" s="17" t="s">
        <v>211</v>
      </c>
      <c r="K66" s="25" t="s">
        <v>47</v>
      </c>
      <c r="L66" s="26" t="s">
        <v>48</v>
      </c>
    </row>
    <row r="67" spans="1:12" ht="84" x14ac:dyDescent="0.2">
      <c r="A67" s="20" t="s">
        <v>111</v>
      </c>
      <c r="B67" s="21" t="s">
        <v>112</v>
      </c>
      <c r="C67" s="22" t="s">
        <v>113</v>
      </c>
      <c r="D67" s="23" t="s">
        <v>49</v>
      </c>
      <c r="E67" s="21" t="s">
        <v>50</v>
      </c>
      <c r="F67" s="20" t="s">
        <v>41</v>
      </c>
      <c r="G67" s="24" t="s">
        <v>114</v>
      </c>
      <c r="H67" s="16">
        <v>3</v>
      </c>
      <c r="I67" s="16" t="s">
        <v>150</v>
      </c>
      <c r="J67" s="17" t="s">
        <v>212</v>
      </c>
      <c r="K67" s="25" t="s">
        <v>51</v>
      </c>
      <c r="L67" s="26" t="s">
        <v>52</v>
      </c>
    </row>
    <row r="68" spans="1:12" ht="98" x14ac:dyDescent="0.2">
      <c r="A68" s="20" t="s">
        <v>111</v>
      </c>
      <c r="B68" s="21" t="s">
        <v>112</v>
      </c>
      <c r="C68" s="22" t="s">
        <v>113</v>
      </c>
      <c r="D68" s="23" t="s">
        <v>53</v>
      </c>
      <c r="E68" s="21" t="s">
        <v>54</v>
      </c>
      <c r="F68" s="20" t="s">
        <v>55</v>
      </c>
      <c r="G68" s="24" t="s">
        <v>115</v>
      </c>
      <c r="H68" s="16">
        <v>3</v>
      </c>
      <c r="I68" s="16" t="s">
        <v>150</v>
      </c>
      <c r="J68" s="17" t="s">
        <v>167</v>
      </c>
      <c r="K68" s="25" t="s">
        <v>57</v>
      </c>
      <c r="L68" s="26" t="s">
        <v>58</v>
      </c>
    </row>
    <row r="69" spans="1:12" ht="84" x14ac:dyDescent="0.2">
      <c r="A69" s="20" t="s">
        <v>111</v>
      </c>
      <c r="B69" s="21" t="s">
        <v>112</v>
      </c>
      <c r="C69" s="22" t="s">
        <v>113</v>
      </c>
      <c r="D69" s="23" t="s">
        <v>59</v>
      </c>
      <c r="E69" s="21" t="s">
        <v>60</v>
      </c>
      <c r="F69" s="20" t="s">
        <v>41</v>
      </c>
      <c r="G69" s="24" t="s">
        <v>114</v>
      </c>
      <c r="H69" s="16">
        <v>1</v>
      </c>
      <c r="I69" s="16" t="s">
        <v>160</v>
      </c>
      <c r="J69" s="34" t="s">
        <v>230</v>
      </c>
      <c r="K69" s="25" t="s">
        <v>61</v>
      </c>
      <c r="L69" s="26" t="s">
        <v>62</v>
      </c>
    </row>
    <row r="70" spans="1:12" ht="84" x14ac:dyDescent="0.2">
      <c r="A70" s="20" t="s">
        <v>111</v>
      </c>
      <c r="B70" s="21" t="s">
        <v>112</v>
      </c>
      <c r="C70" s="22" t="s">
        <v>113</v>
      </c>
      <c r="D70" s="23" t="s">
        <v>63</v>
      </c>
      <c r="E70" s="21" t="s">
        <v>64</v>
      </c>
      <c r="F70" s="20" t="s">
        <v>41</v>
      </c>
      <c r="G70" s="24" t="s">
        <v>114</v>
      </c>
      <c r="H70" s="16">
        <v>3</v>
      </c>
      <c r="I70" s="16" t="s">
        <v>150</v>
      </c>
      <c r="J70" s="17" t="s">
        <v>213</v>
      </c>
      <c r="K70" s="25" t="s">
        <v>65</v>
      </c>
      <c r="L70" s="26" t="s">
        <v>66</v>
      </c>
    </row>
    <row r="71" spans="1:12" ht="98" x14ac:dyDescent="0.2">
      <c r="A71" s="20" t="s">
        <v>111</v>
      </c>
      <c r="B71" s="21" t="s">
        <v>112</v>
      </c>
      <c r="C71" s="22" t="s">
        <v>113</v>
      </c>
      <c r="D71" s="23" t="s">
        <v>67</v>
      </c>
      <c r="E71" s="21" t="s">
        <v>68</v>
      </c>
      <c r="F71" s="20" t="s">
        <v>41</v>
      </c>
      <c r="G71" s="24" t="s">
        <v>114</v>
      </c>
      <c r="H71" s="16">
        <v>0</v>
      </c>
      <c r="I71" s="16" t="s">
        <v>158</v>
      </c>
      <c r="J71" s="17" t="s">
        <v>227</v>
      </c>
      <c r="K71" s="25" t="s">
        <v>69</v>
      </c>
      <c r="L71" s="26" t="s">
        <v>70</v>
      </c>
    </row>
    <row r="73" spans="1:12" x14ac:dyDescent="0.2">
      <c r="G73" s="27" t="s">
        <v>116</v>
      </c>
      <c r="H73" s="28" t="str">
        <f>COUNTA(H2:H71)&amp;" de 70"</f>
        <v>70 de 70</v>
      </c>
    </row>
  </sheetData>
  <dataValidations count="1">
    <dataValidation type="list" allowBlank="1" errorTitle="Valor no valido" error="Solo 0, 1, 2, 3, 4 o NA." sqref="H2:H71" xr:uid="{00000000-0002-0000-0100-000000000000}">
      <formula1>"0,1,2,3,4,NA"</formula1>
      <formula2>0</formula2>
    </dataValidation>
  </dataValidations>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3" r:id="rId32" xr:uid="{00000000-0004-0000-0100-00001F000000}"/>
    <hyperlink ref="C34" r:id="rId33" xr:uid="{00000000-0004-0000-0100-000020000000}"/>
    <hyperlink ref="C35" r:id="rId34" xr:uid="{00000000-0004-0000-0100-000021000000}"/>
    <hyperlink ref="C36" r:id="rId35" xr:uid="{00000000-0004-0000-0100-000022000000}"/>
    <hyperlink ref="C37" r:id="rId36" xr:uid="{00000000-0004-0000-0100-000023000000}"/>
    <hyperlink ref="C38" r:id="rId37" xr:uid="{00000000-0004-0000-0100-000024000000}"/>
    <hyperlink ref="C39" r:id="rId38" xr:uid="{00000000-0004-0000-0100-000025000000}"/>
    <hyperlink ref="C40" r:id="rId39" xr:uid="{00000000-0004-0000-0100-000026000000}"/>
    <hyperlink ref="C41" r:id="rId40" xr:uid="{00000000-0004-0000-0100-000027000000}"/>
    <hyperlink ref="C42" r:id="rId41" xr:uid="{00000000-0004-0000-0100-000028000000}"/>
    <hyperlink ref="C43" r:id="rId42" xr:uid="{00000000-0004-0000-0100-000029000000}"/>
    <hyperlink ref="C44" r:id="rId43" xr:uid="{00000000-0004-0000-0100-00002A000000}"/>
    <hyperlink ref="C45" r:id="rId44" xr:uid="{00000000-0004-0000-0100-00002B000000}"/>
    <hyperlink ref="C46" r:id="rId45" xr:uid="{00000000-0004-0000-0100-00002C000000}"/>
    <hyperlink ref="C47" r:id="rId46" xr:uid="{00000000-0004-0000-0100-00002D000000}"/>
    <hyperlink ref="C48" r:id="rId47" xr:uid="{00000000-0004-0000-0100-00002E000000}"/>
    <hyperlink ref="C49" r:id="rId48" xr:uid="{00000000-0004-0000-0100-00002F000000}"/>
    <hyperlink ref="C50" r:id="rId49" xr:uid="{00000000-0004-0000-0100-000030000000}"/>
    <hyperlink ref="C51" r:id="rId50" xr:uid="{00000000-0004-0000-0100-000031000000}"/>
    <hyperlink ref="C52" r:id="rId51" xr:uid="{00000000-0004-0000-0100-000032000000}"/>
    <hyperlink ref="C53" r:id="rId52" xr:uid="{00000000-0004-0000-0100-000033000000}"/>
    <hyperlink ref="C54" r:id="rId53" xr:uid="{00000000-0004-0000-0100-000034000000}"/>
    <hyperlink ref="C55" r:id="rId54" xr:uid="{00000000-0004-0000-0100-000035000000}"/>
    <hyperlink ref="C56" r:id="rId55" xr:uid="{00000000-0004-0000-0100-000036000000}"/>
    <hyperlink ref="C57" r:id="rId56" xr:uid="{00000000-0004-0000-0100-000037000000}"/>
    <hyperlink ref="C58" r:id="rId57" xr:uid="{00000000-0004-0000-0100-000038000000}"/>
    <hyperlink ref="C59" r:id="rId58" xr:uid="{00000000-0004-0000-0100-000039000000}"/>
    <hyperlink ref="C60" r:id="rId59" xr:uid="{00000000-0004-0000-0100-00003A000000}"/>
    <hyperlink ref="C61" r:id="rId60" xr:uid="{00000000-0004-0000-0100-00003B000000}"/>
    <hyperlink ref="C62" r:id="rId61" xr:uid="{00000000-0004-0000-0100-00003C000000}"/>
    <hyperlink ref="C63" r:id="rId62" xr:uid="{00000000-0004-0000-0100-00003D000000}"/>
    <hyperlink ref="C64" r:id="rId63" xr:uid="{00000000-0004-0000-0100-00003E000000}"/>
    <hyperlink ref="C65" r:id="rId64" xr:uid="{00000000-0004-0000-0100-00003F000000}"/>
    <hyperlink ref="C66" r:id="rId65" xr:uid="{00000000-0004-0000-0100-000040000000}"/>
    <hyperlink ref="C67" r:id="rId66" xr:uid="{00000000-0004-0000-0100-000041000000}"/>
    <hyperlink ref="C68" r:id="rId67" xr:uid="{00000000-0004-0000-0100-000042000000}"/>
    <hyperlink ref="C69" r:id="rId68" xr:uid="{00000000-0004-0000-0100-000043000000}"/>
    <hyperlink ref="C70" r:id="rId69" xr:uid="{00000000-0004-0000-0100-000044000000}"/>
    <hyperlink ref="C71" r:id="rId70" xr:uid="{00000000-0004-0000-0100-000045000000}"/>
  </hyperlinks>
  <pageMargins left="0.75" right="0.75" top="1" bottom="1" header="0.511811023622047" footer="0.511811023622047"/>
  <pageSetup paperSize="9" orientation="portrait" horizontalDpi="300" verticalDpi="300"/>
  <legacyDrawing r:id="rId7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25"/>
  <sheetViews>
    <sheetView showGridLines="0" zoomScaleNormal="100" workbookViewId="0"/>
  </sheetViews>
  <sheetFormatPr baseColWidth="10" defaultColWidth="8.6640625" defaultRowHeight="15" x14ac:dyDescent="0.2"/>
  <cols>
    <col min="1" max="1" width="3" customWidth="1"/>
    <col min="2" max="2" width="8" customWidth="1"/>
    <col min="3" max="3" width="26" customWidth="1"/>
    <col min="4" max="4" width="34" customWidth="1"/>
    <col min="5" max="5" width="46" customWidth="1"/>
    <col min="6" max="6" width="52" customWidth="1"/>
  </cols>
  <sheetData>
    <row r="2" spans="2:6" ht="18" x14ac:dyDescent="0.2">
      <c r="B2" s="29" t="s">
        <v>117</v>
      </c>
    </row>
    <row r="4" spans="2:6" x14ac:dyDescent="0.2">
      <c r="B4" s="30" t="s">
        <v>118</v>
      </c>
      <c r="C4" s="3" t="s">
        <v>119</v>
      </c>
      <c r="D4" s="3"/>
      <c r="E4" s="3"/>
      <c r="F4" s="3"/>
    </row>
    <row r="5" spans="2:6" ht="39.75" customHeight="1" x14ac:dyDescent="0.2">
      <c r="B5" s="31" t="s">
        <v>120</v>
      </c>
      <c r="C5" s="2" t="s">
        <v>121</v>
      </c>
      <c r="D5" s="2"/>
      <c r="E5" s="2"/>
      <c r="F5" s="2"/>
    </row>
    <row r="6" spans="2:6" ht="39.75" customHeight="1" x14ac:dyDescent="0.2">
      <c r="B6" s="31" t="s">
        <v>122</v>
      </c>
      <c r="C6" s="2" t="s">
        <v>123</v>
      </c>
      <c r="D6" s="2"/>
      <c r="E6" s="2"/>
      <c r="F6" s="2"/>
    </row>
    <row r="7" spans="2:6" ht="39.75" customHeight="1" x14ac:dyDescent="0.2">
      <c r="B7" s="31" t="s">
        <v>124</v>
      </c>
      <c r="C7" s="2" t="s">
        <v>125</v>
      </c>
      <c r="D7" s="2"/>
      <c r="E7" s="2"/>
      <c r="F7" s="2"/>
    </row>
    <row r="8" spans="2:6" ht="39.75" customHeight="1" x14ac:dyDescent="0.2">
      <c r="B8" s="31" t="s">
        <v>126</v>
      </c>
      <c r="C8" s="2" t="s">
        <v>127</v>
      </c>
      <c r="D8" s="2"/>
      <c r="E8" s="2"/>
      <c r="F8" s="2"/>
    </row>
    <row r="9" spans="2:6" ht="39.75" customHeight="1" x14ac:dyDescent="0.2">
      <c r="B9" s="31" t="s">
        <v>128</v>
      </c>
      <c r="C9" s="2" t="s">
        <v>129</v>
      </c>
      <c r="D9" s="2"/>
      <c r="E9" s="2"/>
      <c r="F9" s="2"/>
    </row>
    <row r="10" spans="2:6" ht="39.75" customHeight="1" x14ac:dyDescent="0.2">
      <c r="B10" s="31" t="s">
        <v>130</v>
      </c>
      <c r="C10" s="2" t="s">
        <v>131</v>
      </c>
      <c r="D10" s="2"/>
      <c r="E10" s="2"/>
      <c r="F10" s="2"/>
    </row>
    <row r="13" spans="2:6" ht="18" x14ac:dyDescent="0.2">
      <c r="B13" s="29" t="s">
        <v>132</v>
      </c>
    </row>
    <row r="15" spans="2:6" ht="24" customHeight="1" x14ac:dyDescent="0.2">
      <c r="B15" s="10" t="s">
        <v>133</v>
      </c>
      <c r="C15" s="10" t="s">
        <v>134</v>
      </c>
      <c r="D15" s="10" t="s">
        <v>135</v>
      </c>
      <c r="E15" s="10" t="s">
        <v>136</v>
      </c>
      <c r="F15" s="10" t="s">
        <v>35</v>
      </c>
    </row>
    <row r="16" spans="2:6" ht="42" customHeight="1" x14ac:dyDescent="0.2">
      <c r="B16" s="32" t="s">
        <v>39</v>
      </c>
      <c r="C16" s="33" t="s">
        <v>40</v>
      </c>
      <c r="D16" s="33" t="s">
        <v>137</v>
      </c>
      <c r="E16" s="33" t="s">
        <v>43</v>
      </c>
      <c r="F16" s="33" t="s">
        <v>44</v>
      </c>
    </row>
    <row r="17" spans="2:6" ht="42" customHeight="1" x14ac:dyDescent="0.2">
      <c r="B17" s="32" t="s">
        <v>45</v>
      </c>
      <c r="C17" s="33" t="s">
        <v>46</v>
      </c>
      <c r="D17" s="33" t="s">
        <v>138</v>
      </c>
      <c r="E17" s="33" t="s">
        <v>47</v>
      </c>
      <c r="F17" s="33" t="s">
        <v>48</v>
      </c>
    </row>
    <row r="18" spans="2:6" ht="42" customHeight="1" x14ac:dyDescent="0.2">
      <c r="B18" s="32" t="s">
        <v>49</v>
      </c>
      <c r="C18" s="33" t="s">
        <v>50</v>
      </c>
      <c r="D18" s="33" t="s">
        <v>139</v>
      </c>
      <c r="E18" s="33" t="s">
        <v>51</v>
      </c>
      <c r="F18" s="33" t="s">
        <v>52</v>
      </c>
    </row>
    <row r="19" spans="2:6" ht="42" customHeight="1" x14ac:dyDescent="0.2">
      <c r="B19" s="32" t="s">
        <v>53</v>
      </c>
      <c r="C19" s="33" t="s">
        <v>54</v>
      </c>
      <c r="D19" s="33" t="s">
        <v>140</v>
      </c>
      <c r="E19" s="33" t="s">
        <v>57</v>
      </c>
      <c r="F19" s="33" t="s">
        <v>58</v>
      </c>
    </row>
    <row r="20" spans="2:6" ht="42" customHeight="1" x14ac:dyDescent="0.2">
      <c r="B20" s="32" t="s">
        <v>59</v>
      </c>
      <c r="C20" s="33" t="s">
        <v>60</v>
      </c>
      <c r="D20" s="33" t="s">
        <v>141</v>
      </c>
      <c r="E20" s="33" t="s">
        <v>61</v>
      </c>
      <c r="F20" s="33" t="s">
        <v>62</v>
      </c>
    </row>
    <row r="21" spans="2:6" ht="42" customHeight="1" x14ac:dyDescent="0.2">
      <c r="B21" s="32" t="s">
        <v>63</v>
      </c>
      <c r="C21" s="33" t="s">
        <v>64</v>
      </c>
      <c r="D21" s="33" t="s">
        <v>142</v>
      </c>
      <c r="E21" s="33" t="s">
        <v>65</v>
      </c>
      <c r="F21" s="33" t="s">
        <v>66</v>
      </c>
    </row>
    <row r="22" spans="2:6" ht="42" customHeight="1" x14ac:dyDescent="0.2">
      <c r="B22" s="32" t="s">
        <v>67</v>
      </c>
      <c r="C22" s="33" t="s">
        <v>68</v>
      </c>
      <c r="D22" s="33" t="s">
        <v>143</v>
      </c>
      <c r="E22" s="33" t="s">
        <v>69</v>
      </c>
      <c r="F22" s="33" t="s">
        <v>70</v>
      </c>
    </row>
    <row r="25" spans="2:6" ht="33.75" customHeight="1" x14ac:dyDescent="0.2">
      <c r="B25" s="1" t="s">
        <v>144</v>
      </c>
      <c r="C25" s="1"/>
      <c r="D25" s="1"/>
      <c r="E25" s="1"/>
      <c r="F25" s="1"/>
    </row>
  </sheetData>
  <mergeCells count="8">
    <mergeCell ref="C9:F9"/>
    <mergeCell ref="C10:F10"/>
    <mergeCell ref="B25:F25"/>
    <mergeCell ref="C4:F4"/>
    <mergeCell ref="C5:F5"/>
    <mergeCell ref="C6:F6"/>
    <mergeCell ref="C7:F7"/>
    <mergeCell ref="C8:F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Calificar</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Juan Francisco Rodriguez Contreras</cp:lastModifiedBy>
  <cp:revision>0</cp:revision>
  <dcterms:created xsi:type="dcterms:W3CDTF">2026-09-13T23:25:23Z</dcterms:created>
  <dcterms:modified xsi:type="dcterms:W3CDTF">2026-09-16T12:36:31Z</dcterms:modified>
  <dc:language>en-US</dc:language>
</cp:coreProperties>
</file>